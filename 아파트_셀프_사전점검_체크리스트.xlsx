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준비물" sheetId="2" state="visible" r:id="rId2"/>
    <sheet xmlns:r="http://schemas.openxmlformats.org/officeDocument/2006/relationships" name="점검표" sheetId="3" state="visible" r:id="rId3"/>
    <sheet xmlns:r="http://schemas.openxmlformats.org/officeDocument/2006/relationships" name="하자기록" sheetId="4" state="visible" r:id="rId4"/>
    <sheet xmlns:r="http://schemas.openxmlformats.org/officeDocument/2006/relationships" name="요약" sheetId="5" state="visible" r:id="rId5"/>
    <sheet xmlns:r="http://schemas.openxmlformats.org/officeDocument/2006/relationships" name="더샵 사전방문" sheetId="6" state="visible" r:id="rId6"/>
    <sheet xmlns:r="http://schemas.openxmlformats.org/officeDocument/2006/relationships" name="참고영상" sheetId="7" state="visible" r:id="rId7"/>
    <sheet xmlns:r="http://schemas.openxmlformats.org/officeDocument/2006/relationships" name="_목록" sheetId="8" state="hidden" r:id="rId8"/>
  </sheets>
  <definedNames>
    <definedName name="_xlnm._FilterDatabase" localSheetId="2" hidden="1">'점검표'!$A$1:$G$62</definedName>
    <definedName name="_xlnm.Print_Titles" localSheetId="2">'점검표'!$1:$1</definedName>
    <definedName name="_xlnm._FilterDatabase" localSheetId="3" hidden="1">'하자기록'!$A$1:$K$101</definedName>
  </definedNames>
  <calcPr calcId="124519" fullCalcOnLoad="1"/>
</workbook>
</file>

<file path=xl/styles.xml><?xml version="1.0" encoding="utf-8"?>
<styleSheet xmlns="http://schemas.openxmlformats.org/spreadsheetml/2006/main">
  <numFmts count="1">
    <numFmt numFmtId="164" formatCode="yyyy-mm-dd"/>
  </numFmts>
  <fonts count="14">
    <font>
      <name val="Calibri"/>
      <family val="2"/>
      <color theme="1"/>
      <sz val="11"/>
      <scheme val="minor"/>
    </font>
    <font>
      <name val="맑은 고딕"/>
      <b val="1"/>
      <color rgb="002F5D7C"/>
      <sz val="16"/>
    </font>
    <font>
      <name val="맑은 고딕"/>
      <color rgb="00555555"/>
      <sz val="10"/>
    </font>
    <font>
      <name val="맑은 고딕"/>
      <b val="1"/>
      <sz val="11"/>
    </font>
    <font>
      <name val="맑은 고딕"/>
      <sz val="11"/>
    </font>
    <font>
      <name val="맑은 고딕"/>
      <b val="1"/>
      <color rgb="002F5D7C"/>
      <sz val="12"/>
    </font>
    <font>
      <name val="맑은 고딕"/>
      <b val="1"/>
      <color rgb="00C0392B"/>
    </font>
    <font>
      <name val="맑은 고딕"/>
      <b val="1"/>
      <color rgb="00FFFFFF"/>
    </font>
    <font>
      <name val="맑은 고딕"/>
    </font>
    <font>
      <name val="맑은 고딕"/>
      <b val="1"/>
    </font>
    <font>
      <name val="맑은 고딕"/>
      <i val="1"/>
      <color rgb="007F7F7F"/>
    </font>
    <font>
      <name val="맑은 고딕"/>
      <color rgb="007F7F7F"/>
      <sz val="9"/>
    </font>
    <font>
      <name val="맑은 고딕"/>
      <b val="1"/>
      <color rgb="002F5D7C"/>
      <sz val="14"/>
    </font>
    <font>
      <name val="맑은 고딕"/>
      <color rgb="00C0392B"/>
      <sz val="10"/>
    </font>
  </fonts>
  <fills count="6">
    <fill>
      <patternFill/>
    </fill>
    <fill>
      <patternFill patternType="gray125"/>
    </fill>
    <fill>
      <patternFill patternType="solid">
        <fgColor rgb="002F5D7C"/>
      </patternFill>
    </fill>
    <fill>
      <patternFill patternType="solid">
        <fgColor rgb="00FFF9DB"/>
      </patternFill>
    </fill>
    <fill>
      <patternFill patternType="solid">
        <fgColor rgb="00F2F2F2"/>
      </patternFill>
    </fill>
    <fill>
      <patternFill patternType="solid">
        <fgColor rgb="00DCE8F0"/>
      </patternFill>
    </fill>
  </fills>
  <borders count="5">
    <border>
      <left/>
      <right/>
      <top/>
      <bottom/>
      <diagonal/>
    </border>
    <border>
      <left style="thin">
        <color rgb="00B7C4CF"/>
      </left>
      <right style="thin">
        <color rgb="00B7C4CF"/>
      </right>
      <top style="thin">
        <color rgb="00B7C4CF"/>
      </top>
      <bottom style="thin">
        <color rgb="00B7C4CF"/>
      </bottom>
    </border>
    <border>
      <left/>
      <right/>
      <top style="thin">
        <color rgb="00B7C4CF"/>
      </top>
      <bottom/>
      <diagonal/>
    </border>
    <border>
      <left/>
      <right style="thin">
        <color rgb="00B7C4CF"/>
      </right>
      <top style="thin">
        <color rgb="00B7C4CF"/>
      </top>
      <bottom/>
      <diagonal/>
    </border>
    <border>
      <left/>
      <right style="thin">
        <color rgb="00B7C4CF"/>
      </right>
      <top style="thin">
        <color rgb="00B7C4CF"/>
      </top>
      <bottom style="thin">
        <color rgb="00B7C4CF"/>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applyAlignment="1" pivotButton="0" quotePrefix="0" xfId="0">
      <alignment vertical="center" wrapText="1"/>
    </xf>
    <xf numFmtId="0" fontId="4" fillId="0" borderId="0" pivotButton="0" quotePrefix="0" xfId="0"/>
    <xf numFmtId="0" fontId="6" fillId="0" borderId="0" pivotButton="0" quotePrefix="0" xfId="0"/>
    <xf numFmtId="0" fontId="3"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vertical="center" wrapText="1"/>
    </xf>
    <xf numFmtId="0" fontId="8" fillId="3" borderId="1" applyAlignment="1" pivotButton="0" quotePrefix="0" xfId="0">
      <alignment horizontal="center" vertical="center" wrapText="1"/>
    </xf>
    <xf numFmtId="0" fontId="8" fillId="3" borderId="1" applyAlignment="1" pivotButton="0" quotePrefix="0" xfId="0">
      <alignment vertical="center" wrapText="1"/>
    </xf>
    <xf numFmtId="0" fontId="9" fillId="0" borderId="0" pivotButton="0" quotePrefix="0" xfId="0"/>
    <xf numFmtId="0" fontId="8"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4" borderId="1" applyAlignment="1" pivotButton="0" quotePrefix="0" xfId="0">
      <alignment vertical="center" wrapText="1"/>
    </xf>
    <xf numFmtId="164" fontId="10" fillId="4" borderId="1" applyAlignment="1" pivotButton="0" quotePrefix="0" xfId="0">
      <alignment horizontal="center" vertical="center" wrapText="1"/>
    </xf>
    <xf numFmtId="164" fontId="8" fillId="3" borderId="1" applyAlignment="1" pivotButton="0" quotePrefix="0" xfId="0">
      <alignment horizontal="center" vertical="center" wrapText="1"/>
    </xf>
    <xf numFmtId="9" fontId="8" fillId="0" borderId="1" applyAlignment="1" pivotButton="0" quotePrefix="0" xfId="0">
      <alignment horizontal="center" vertical="center" wrapText="1"/>
    </xf>
    <xf numFmtId="0" fontId="9" fillId="5" borderId="1" applyAlignment="1" pivotButton="0" quotePrefix="0" xfId="0">
      <alignment vertical="center" wrapText="1"/>
    </xf>
    <xf numFmtId="0" fontId="9" fillId="5" borderId="1" applyAlignment="1" pivotButton="0" quotePrefix="0" xfId="0">
      <alignment horizontal="center" vertical="center" wrapText="1"/>
    </xf>
    <xf numFmtId="9" fontId="9" fillId="5" borderId="1" applyAlignment="1" pivotButton="0" quotePrefix="0" xfId="0">
      <alignment horizontal="center" vertical="center" wrapText="1"/>
    </xf>
    <xf numFmtId="0" fontId="11" fillId="0" borderId="0" pivotButton="0" quotePrefix="0" xfId="0"/>
    <xf numFmtId="0" fontId="12" fillId="0" borderId="0" pivotButton="0" quotePrefix="0" xfId="0"/>
    <xf numFmtId="0" fontId="13" fillId="0" borderId="0" pivotButton="0" quotePrefix="0" xfId="0"/>
    <xf numFmtId="0" fontId="8" fillId="0" borderId="1" pivotButton="0" quotePrefix="0" xfId="0"/>
    <xf numFmtId="0" fontId="8" fillId="3" borderId="1" pivotButton="0" quotePrefix="0" xfId="0"/>
    <xf numFmtId="0" fontId="0" fillId="0" borderId="4" pivotButton="0" quotePrefix="0" xfId="0"/>
    <xf numFmtId="0" fontId="8" fillId="0" borderId="0" applyAlignment="1" pivotButton="0" quotePrefix="0" xfId="0">
      <alignment vertical="center" wrapText="1"/>
    </xf>
    <xf numFmtId="0" fontId="9" fillId="0" borderId="1" applyAlignment="1" pivotButton="0" quotePrefix="0" xfId="0">
      <alignment vertical="center" wrapText="1"/>
    </xf>
  </cellXfs>
  <cellStyles count="1">
    <cellStyle name="Normal" xfId="0" builtinId="0" hidden="0"/>
  </cellStyles>
  <dxfs count="3">
    <dxf>
      <fill>
        <patternFill patternType="solid">
          <fgColor rgb="00F8D7DA"/>
        </patternFill>
      </fill>
    </dxf>
    <dxf>
      <fill>
        <patternFill patternType="solid">
          <fgColor rgb="00D4EDDA"/>
        </patternFill>
      </fill>
    </dxf>
    <dxf>
      <fill>
        <patternFill patternType="solid">
          <fgColor rgb="00FFE8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8" customWidth="1" min="1" max="1"/>
    <col width="80" customWidth="1" min="2" max="2"/>
  </cols>
  <sheetData>
    <row r="1">
      <c r="A1" s="1" t="inlineStr">
        <is>
          <t>아파트 셀프 사전점검 체크리스트</t>
        </is>
      </c>
    </row>
    <row r="2">
      <c r="A2" s="2" t="inlineStr">
        <is>
          <t>작성일 2026-10-08 · 매부리TV 「신축 아파트 사전점검 A부터 Z까지」 4단계 구성(점검 순서 → 준비물 → 장소별 핵심 → 하자 대응) 기준</t>
        </is>
      </c>
    </row>
    <row r="4">
      <c r="A4" s="3" t="inlineStr">
        <is>
          <t>시트 구성</t>
        </is>
      </c>
      <c r="B4" s="4" t="inlineStr"/>
    </row>
    <row r="5">
      <c r="A5" s="5" t="inlineStr">
        <is>
          <t>준비물</t>
        </is>
      </c>
      <c r="B5" s="4" t="inlineStr">
        <is>
          <t>가기 전에 챙길 것. 챙기면 B열에 ○ 선택</t>
        </is>
      </c>
    </row>
    <row r="6">
      <c r="A6" s="5" t="inlineStr">
        <is>
          <t>점검표</t>
        </is>
      </c>
      <c r="B6" s="4" t="inlineStr">
        <is>
          <t>공간별 점검 항목. 노란 칸(결과·하자번호·위치/메모)만 입력하세요</t>
        </is>
      </c>
    </row>
    <row r="7">
      <c r="A7" s="5" t="inlineStr">
        <is>
          <t>하자기록</t>
        </is>
      </c>
      <c r="B7" s="4" t="inlineStr">
        <is>
          <t>하자를 찾으면 한 줄씩 기록. K열 문구를 복사해 더샵 앱에 붙여넣기</t>
        </is>
      </c>
    </row>
    <row r="8">
      <c r="A8" s="5" t="inlineStr">
        <is>
          <t>더샵 사전방문</t>
        </is>
      </c>
      <c r="B8" s="4" t="inlineStr">
        <is>
          <t>포스코이앤씨 더샵 사전방문 예약부터 휴대폰 접수, 보수 확인까지 순서</t>
        </is>
      </c>
    </row>
    <row r="9">
      <c r="A9" s="5" t="inlineStr">
        <is>
          <t>요약</t>
        </is>
      </c>
      <c r="B9" s="4" t="inlineStr">
        <is>
          <t>공간별 진행률과 하자 개수가 자동 계산됩니다 (입력 불필요)</t>
        </is>
      </c>
    </row>
    <row r="10">
      <c r="A10" s="5" t="inlineStr">
        <is>
          <t>참고영상</t>
        </is>
      </c>
      <c r="B10" s="4" t="inlineStr">
        <is>
          <t>참고한 YouTube 영상과 자료</t>
        </is>
      </c>
    </row>
    <row r="11">
      <c r="A11" s="5" t="inlineStr"/>
      <c r="B11" s="4" t="inlineStr"/>
    </row>
    <row r="12">
      <c r="A12" s="3" t="inlineStr">
        <is>
          <t>결과 입력 방법</t>
        </is>
      </c>
      <c r="B12" s="4" t="inlineStr"/>
    </row>
    <row r="13">
      <c r="A13" s="5" t="inlineStr">
        <is>
          <t>○</t>
        </is>
      </c>
      <c r="B13" s="4" t="inlineStr">
        <is>
          <t>이상 없음</t>
        </is>
      </c>
    </row>
    <row r="14">
      <c r="A14" s="5" t="inlineStr">
        <is>
          <t>✖</t>
        </is>
      </c>
      <c r="B14" s="4" t="inlineStr">
        <is>
          <t>하자 있음 → 하자번호를 적고 하자기록 시트에 상세 기록</t>
        </is>
      </c>
    </row>
    <row r="15">
      <c r="A15" s="5" t="inlineStr">
        <is>
          <t>△</t>
        </is>
      </c>
      <c r="B15" s="4" t="inlineStr">
        <is>
          <t>애매함 → 나중에 다시 확인</t>
        </is>
      </c>
    </row>
    <row r="16">
      <c r="A16" s="5" t="inlineStr"/>
      <c r="B16" s="4" t="inlineStr"/>
    </row>
    <row r="17">
      <c r="A17" s="5" t="inlineStr">
        <is>
          <t>점검 순서</t>
        </is>
      </c>
      <c r="B17" s="4" t="inlineStr">
        <is>
          <t>현관에서 시작해 시계 방향으로. 공간마다 문 → 천장 → 창 → 벽 → 바닥 → 작동 테스트</t>
        </is>
      </c>
    </row>
    <row r="18">
      <c r="A18" s="5" t="inlineStr">
        <is>
          <t>사진 원칙</t>
        </is>
      </c>
      <c r="B18" s="4" t="inlineStr">
        <is>
          <t>원거리 1장(위치) + 근접 1장(하자). 배수·소음은 동영상</t>
        </is>
      </c>
    </row>
    <row r="19">
      <c r="A19" s="5" t="inlineStr">
        <is>
          <t>접수</t>
        </is>
      </c>
      <c r="B19" s="4" t="inlineStr">
        <is>
          <t>당일 시공사 앱으로 접수 후 화면 캡처. 앱 오류 시 현장 본부에 서면 하자보수 요청서 제출</t>
        </is>
      </c>
    </row>
    <row r="20">
      <c r="A20" s="5" t="inlineStr">
        <is>
          <t>셀프 한계</t>
        </is>
      </c>
      <c r="B20" s="4" t="inlineStr">
        <is>
          <t>열화상(단열·결로), 라돈·공기질, 콘센트 접지, 매립 배관 누수는 장비 필요</t>
        </is>
      </c>
    </row>
    <row r="21">
      <c r="A21" s="6" t="inlineStr"/>
      <c r="B21" s="4" t="inlineStr"/>
    </row>
    <row r="22">
      <c r="A22" s="7" t="inlineStr">
        <is>
          <t>주의</t>
        </is>
      </c>
      <c r="B22" s="4" t="inlineStr">
        <is>
          <t>영상의 구성은 썸네일로 확인했으나 영상 속 세부 발언은 확인하지 못했습니다. 세부 항목은 여러 사전점검 가이드 자료로 채웠습니다.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30" customWidth="1" min="3" max="3"/>
  </cols>
  <sheetData>
    <row r="1" ht="24" customHeight="1">
      <c r="A1" s="8" t="inlineStr">
        <is>
          <t>준비물</t>
        </is>
      </c>
      <c r="B1" s="8" t="inlineStr">
        <is>
          <t>챙김</t>
        </is>
      </c>
      <c r="C1" s="8" t="inlineStr">
        <is>
          <t>메모</t>
        </is>
      </c>
    </row>
    <row r="2">
      <c r="A2" s="9" t="inlineStr">
        <is>
          <t>신분증, 사전점검 초대장(안내문)</t>
        </is>
      </c>
      <c r="B2" s="10" t="n"/>
      <c r="C2" s="11" t="n"/>
    </row>
    <row r="3">
      <c r="A3" s="9" t="inlineStr">
        <is>
          <t>분양계약서 / 옵션 계약서 (옵션 반영 확인용)</t>
        </is>
      </c>
      <c r="B3" s="10" t="n"/>
      <c r="C3" s="11" t="n"/>
    </row>
    <row r="4">
      <c r="A4" s="9" t="inlineStr">
        <is>
          <t>이 체크리스트 출력본 또는 점검 앱 (시공사 하자접수 앱 미리 설치)</t>
        </is>
      </c>
      <c r="B4" s="10" t="n"/>
      <c r="C4" s="11" t="n"/>
    </row>
    <row r="5">
      <c r="A5" s="9" t="inlineStr">
        <is>
          <t>스마트폰 + 보조배터리 (사진·영상)</t>
        </is>
      </c>
      <c r="B5" s="10" t="n"/>
      <c r="C5" s="11" t="n"/>
    </row>
    <row r="6">
      <c r="A6" s="9" t="inlineStr">
        <is>
          <t>휴대폰 충전기 또는 콘센트 테스터 (콘센트 통전 확인)</t>
        </is>
      </c>
      <c r="B6" s="10" t="n"/>
      <c r="C6" s="11" t="n"/>
    </row>
    <row r="7">
      <c r="A7" s="9" t="inlineStr">
        <is>
          <t>손전등 (빛 각도로 도배·바닥 확인)</t>
        </is>
      </c>
      <c r="B7" s="10" t="n"/>
      <c r="C7" s="11" t="n"/>
    </row>
    <row r="8">
      <c r="A8" s="9" t="inlineStr">
        <is>
          <t>수평계 또는 수평계 앱, 줄자</t>
        </is>
      </c>
      <c r="B8" s="10" t="n"/>
      <c r="C8" s="11" t="n"/>
    </row>
    <row r="9">
      <c r="A9" s="9" t="inlineStr">
        <is>
          <t>고무망치 또는 단단한 펜 (타일 타격)</t>
        </is>
      </c>
      <c r="B9" s="10" t="n"/>
      <c r="C9" s="11" t="n"/>
    </row>
    <row r="10">
      <c r="A10" s="9" t="inlineStr">
        <is>
          <t>바가지·대야, 물 1~2병 (배수·구배 확인)</t>
        </is>
      </c>
      <c r="B10" s="10" t="n"/>
      <c r="C10" s="11" t="n"/>
    </row>
    <row r="11">
      <c r="A11" s="9" t="inlineStr">
        <is>
          <t>마스킹테이프·하자 스티커·포스트잇, 네임펜</t>
        </is>
      </c>
      <c r="B11" s="10" t="n"/>
      <c r="C11" s="11" t="n"/>
    </row>
    <row r="12">
      <c r="A12" s="9" t="inlineStr">
        <is>
          <t>작은 거울 (싱크대·세면대 하부, 문 윗면 확인)</t>
        </is>
      </c>
      <c r="B12" s="10" t="n"/>
      <c r="C12" s="11" t="n"/>
    </row>
    <row r="13">
      <c r="A13" s="9" t="inlineStr">
        <is>
          <t>목장갑, 일회용 슬리퍼 또는 덧신, 마스크(분진), 물티슈</t>
        </is>
      </c>
      <c r="B13" s="10" t="n"/>
      <c r="C13" s="11" t="n"/>
    </row>
    <row r="14">
      <c r="A14" s="9" t="inlineStr">
        <is>
          <t>평면도(도면) — 동선 계획, 치수 확인용</t>
        </is>
      </c>
      <c r="B14" s="10" t="n"/>
      <c r="C14" s="11" t="n"/>
    </row>
    <row r="15">
      <c r="A15" s="9" t="inlineStr">
        <is>
          <t>하자 스티커 여분 (현장 지급분이 모자랄 수 있음)</t>
        </is>
      </c>
      <c r="B15" s="10" t="n"/>
      <c r="C15" s="11" t="n"/>
    </row>
    <row r="16">
      <c r="A16" s="9" t="inlineStr">
        <is>
          <t>접이식 사다리 또는 간이 의자 (천장, 상부장, 점검구)</t>
        </is>
      </c>
      <c r="B16" s="10" t="n"/>
      <c r="C16" s="11" t="n"/>
    </row>
    <row r="17">
      <c r="A17" s="9" t="inlineStr">
        <is>
          <t>(선택) 돗자리 — 바닥에 앉아 정리할 때</t>
        </is>
      </c>
      <c r="B17" s="10" t="n"/>
      <c r="C17" s="11" t="n"/>
    </row>
    <row r="19">
      <c r="A19" s="12" t="inlineStr">
        <is>
          <t>챙긴 개수</t>
        </is>
      </c>
      <c r="B19" s="12">
        <f>COUNTIF(B2:B17,"○")&amp;"/"&amp;COUNTA(A2:A17)</f>
        <v/>
      </c>
    </row>
  </sheetData>
  <dataValidations count="1">
    <dataValidation sqref="B2 B3 B4 B5 B6 B7 B8 B9 B10 B11 B12 B13 B14 B15 B16 B17"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62" customWidth="1" min="4" max="4"/>
    <col width="8" customWidth="1" min="5" max="5"/>
    <col width="10" customWidth="1" min="6" max="6"/>
    <col width="34" customWidth="1" min="7" max="7"/>
  </cols>
  <sheetData>
    <row r="1" ht="24" customHeight="1">
      <c r="A1" s="8" t="inlineStr">
        <is>
          <t>No</t>
        </is>
      </c>
      <c r="B1" s="8" t="inlineStr">
        <is>
          <t>공간</t>
        </is>
      </c>
      <c r="C1" s="8" t="inlineStr">
        <is>
          <t>구분</t>
        </is>
      </c>
      <c r="D1" s="8" t="inlineStr">
        <is>
          <t>점검 항목</t>
        </is>
      </c>
      <c r="E1" s="8" t="inlineStr">
        <is>
          <t>결과</t>
        </is>
      </c>
      <c r="F1" s="8" t="inlineStr">
        <is>
          <t>하자번호</t>
        </is>
      </c>
      <c r="G1" s="8" t="inlineStr">
        <is>
          <t>위치 / 메모</t>
        </is>
      </c>
    </row>
    <row r="2">
      <c r="A2" s="13" t="n">
        <v>1</v>
      </c>
      <c r="B2" s="9" t="inlineStr">
        <is>
          <t>현관 / 복도</t>
        </is>
      </c>
      <c r="C2" s="13" t="inlineStr"/>
      <c r="D2" s="9" t="inlineStr">
        <is>
          <t>현관문 개폐가 부드러운지, 도어클로저 속도, 닫힐 때 소음</t>
        </is>
      </c>
      <c r="E2" s="10" t="n"/>
      <c r="F2" s="10" t="n"/>
      <c r="G2" s="11" t="n"/>
    </row>
    <row r="3">
      <c r="A3" s="13" t="n">
        <v>2</v>
      </c>
      <c r="B3" s="9" t="inlineStr">
        <is>
          <t>현관 / 복도</t>
        </is>
      </c>
      <c r="C3" s="13" t="inlineStr"/>
      <c r="D3" s="9" t="inlineStr">
        <is>
          <t>현관문 표면 찍힘·도장 손상, 문틀과의 틈</t>
        </is>
      </c>
      <c r="E3" s="10" t="n"/>
      <c r="F3" s="10" t="n"/>
      <c r="G3" s="11" t="n"/>
    </row>
    <row r="4">
      <c r="A4" s="13" t="n">
        <v>3</v>
      </c>
      <c r="B4" s="9" t="inlineStr">
        <is>
          <t>현관 / 복도</t>
        </is>
      </c>
      <c r="C4" s="13" t="inlineStr"/>
      <c r="D4" s="9" t="inlineStr">
        <is>
          <t>도어록 작동(비밀번호·카드·기계식 열쇠), 말발굽(도어스토퍼)</t>
        </is>
      </c>
      <c r="E4" s="10" t="n"/>
      <c r="F4" s="10" t="n"/>
      <c r="G4" s="11" t="n"/>
    </row>
    <row r="5">
      <c r="A5" s="13" t="n">
        <v>4</v>
      </c>
      <c r="B5" s="9" t="inlineStr">
        <is>
          <t>현관 / 복도</t>
        </is>
      </c>
      <c r="C5" s="13" t="inlineStr"/>
      <c r="D5" s="9" t="inlineStr">
        <is>
          <t>현관 바닥 타일·대리석 깨짐, 들뜸(타격), 줄눈</t>
        </is>
      </c>
      <c r="E5" s="10" t="n"/>
      <c r="F5" s="10" t="n"/>
      <c r="G5" s="11" t="n"/>
    </row>
    <row r="6">
      <c r="A6" s="13" t="n">
        <v>5</v>
      </c>
      <c r="B6" s="9" t="inlineStr">
        <is>
          <t>현관 / 복도</t>
        </is>
      </c>
      <c r="C6" s="13" t="inlineStr"/>
      <c r="D6" s="9" t="inlineStr">
        <is>
          <t>신발장 문 수평과 간격, 경첩, 내부 선반, 마감 상태</t>
        </is>
      </c>
      <c r="E6" s="10" t="n"/>
      <c r="F6" s="10" t="n"/>
      <c r="G6" s="11" t="n"/>
    </row>
    <row r="7">
      <c r="A7" s="13" t="n">
        <v>6</v>
      </c>
      <c r="B7" s="9" t="inlineStr">
        <is>
          <t>현관 / 복도</t>
        </is>
      </c>
      <c r="C7" s="13" t="inlineStr"/>
      <c r="D7" s="9" t="inlineStr">
        <is>
          <t>센서등 작동</t>
        </is>
      </c>
      <c r="E7" s="10" t="n"/>
      <c r="F7" s="10" t="n"/>
      <c r="G7" s="11" t="n"/>
    </row>
    <row r="8">
      <c r="A8" s="13" t="n">
        <v>7</v>
      </c>
      <c r="B8" s="9" t="inlineStr">
        <is>
          <t>현관 / 복도</t>
        </is>
      </c>
      <c r="C8" s="13" t="inlineStr"/>
      <c r="D8" s="9" t="inlineStr">
        <is>
          <t>중문(옵션) 설치 상태와 개폐</t>
        </is>
      </c>
      <c r="E8" s="10" t="n"/>
      <c r="F8" s="10" t="n"/>
      <c r="G8" s="11" t="n"/>
    </row>
    <row r="9">
      <c r="A9" s="13" t="n">
        <v>8</v>
      </c>
      <c r="B9" s="9" t="inlineStr">
        <is>
          <t>거실 / 침실</t>
        </is>
      </c>
      <c r="C9" s="13" t="inlineStr">
        <is>
          <t>천장·벽</t>
        </is>
      </c>
      <c r="D9" s="9" t="inlineStr">
        <is>
          <t>천장 도배 울음·얼룩, 조명·스프링클러·감지기 주변 마감</t>
        </is>
      </c>
      <c r="E9" s="10" t="n"/>
      <c r="F9" s="10" t="n"/>
      <c r="G9" s="11" t="n"/>
    </row>
    <row r="10">
      <c r="A10" s="13" t="n">
        <v>9</v>
      </c>
      <c r="B10" s="9" t="inlineStr">
        <is>
          <t>거실 / 침실</t>
        </is>
      </c>
      <c r="C10" s="13" t="inlineStr">
        <is>
          <t>천장·벽</t>
        </is>
      </c>
      <c r="D10" s="9" t="inlineStr">
        <is>
          <t>벽지 들뜸, 이음매 벌어짐, 오염, 찢김 (손전등을 비스듬히 비춰서)</t>
        </is>
      </c>
      <c r="E10" s="10" t="n"/>
      <c r="F10" s="10" t="n"/>
      <c r="G10" s="11" t="n"/>
    </row>
    <row r="11">
      <c r="A11" s="13" t="n">
        <v>10</v>
      </c>
      <c r="B11" s="9" t="inlineStr">
        <is>
          <t>거실 / 침실</t>
        </is>
      </c>
      <c r="C11" s="13" t="inlineStr">
        <is>
          <t>천장·벽</t>
        </is>
      </c>
      <c r="D11" s="9" t="inlineStr">
        <is>
          <t>몰딩·걸레받이 벌어짐, 틈, 찍힘</t>
        </is>
      </c>
      <c r="E11" s="10" t="n"/>
      <c r="F11" s="10" t="n"/>
      <c r="G11" s="11" t="n"/>
    </row>
    <row r="12">
      <c r="A12" s="13" t="n">
        <v>11</v>
      </c>
      <c r="B12" s="9" t="inlineStr">
        <is>
          <t>거실 / 침실</t>
        </is>
      </c>
      <c r="C12" s="13" t="inlineStr">
        <is>
          <t>천장·벽</t>
        </is>
      </c>
      <c r="D12" s="9" t="inlineStr">
        <is>
          <t>벽 모서리(특히 외벽 쪽) 곰팡이·습기 흔적</t>
        </is>
      </c>
      <c r="E12" s="10" t="n"/>
      <c r="F12" s="10" t="n"/>
      <c r="G12" s="11" t="n"/>
    </row>
    <row r="13">
      <c r="A13" s="13" t="n">
        <v>12</v>
      </c>
      <c r="B13" s="9" t="inlineStr">
        <is>
          <t>거실 / 침실</t>
        </is>
      </c>
      <c r="C13" s="13" t="inlineStr">
        <is>
          <t>바닥</t>
        </is>
      </c>
      <c r="D13" s="9" t="inlineStr">
        <is>
          <t>마루 찍힘·스크래치·들뜸, 걸을 때 삐걱 소리</t>
        </is>
      </c>
      <c r="E13" s="10" t="n"/>
      <c r="F13" s="10" t="n"/>
      <c r="G13" s="11" t="n"/>
    </row>
    <row r="14">
      <c r="A14" s="13" t="n">
        <v>13</v>
      </c>
      <c r="B14" s="9" t="inlineStr">
        <is>
          <t>거실 / 침실</t>
        </is>
      </c>
      <c r="C14" s="13" t="inlineStr">
        <is>
          <t>바닥</t>
        </is>
      </c>
      <c r="D14" s="9" t="inlineStr">
        <is>
          <t>바닥 수평 (수평계·구슬 굴려 보기)</t>
        </is>
      </c>
      <c r="E14" s="10" t="n"/>
      <c r="F14" s="10" t="n"/>
      <c r="G14" s="11" t="n"/>
    </row>
    <row r="15">
      <c r="A15" s="13" t="n">
        <v>14</v>
      </c>
      <c r="B15" s="9" t="inlineStr">
        <is>
          <t>거실 / 침실</t>
        </is>
      </c>
      <c r="C15" s="13" t="inlineStr">
        <is>
          <t>바닥</t>
        </is>
      </c>
      <c r="D15" s="9" t="inlineStr">
        <is>
          <t>마루와 걸레받이·문턱 사이 틈</t>
        </is>
      </c>
      <c r="E15" s="10" t="n"/>
      <c r="F15" s="10" t="n"/>
      <c r="G15" s="11" t="n"/>
    </row>
    <row r="16">
      <c r="A16" s="13" t="n">
        <v>15</v>
      </c>
      <c r="B16" s="9" t="inlineStr">
        <is>
          <t>거실 / 침실</t>
        </is>
      </c>
      <c r="C16" s="13" t="inlineStr">
        <is>
          <t>문·창호</t>
        </is>
      </c>
      <c r="D16" s="9" t="inlineStr">
        <is>
          <t>방문 개폐, 처짐, 문틀 수직, 손잡이·잠금</t>
        </is>
      </c>
      <c r="E16" s="10" t="n"/>
      <c r="F16" s="10" t="n"/>
      <c r="G16" s="11" t="n"/>
    </row>
    <row r="17">
      <c r="A17" s="13" t="n">
        <v>16</v>
      </c>
      <c r="B17" s="9" t="inlineStr">
        <is>
          <t>거실 / 침실</t>
        </is>
      </c>
      <c r="C17" s="13" t="inlineStr">
        <is>
          <t>문·창호</t>
        </is>
      </c>
      <c r="D17" s="9" t="inlineStr">
        <is>
          <t>창문 3회 이상 여닫기 — 걸림, 소음, 잠금장치(크레센트) 작동</t>
        </is>
      </c>
      <c r="E17" s="10" t="n"/>
      <c r="F17" s="10" t="n"/>
      <c r="G17" s="11" t="n"/>
    </row>
    <row r="18">
      <c r="A18" s="13" t="n">
        <v>17</v>
      </c>
      <c r="B18" s="9" t="inlineStr">
        <is>
          <t>거실 / 침실</t>
        </is>
      </c>
      <c r="C18" s="13" t="inlineStr">
        <is>
          <t>문·창호</t>
        </is>
      </c>
      <c r="D18" s="9" t="inlineStr">
        <is>
          <t>창틀 실리콘 끊김, 유리 스크래치·금, 방충망 찢김·개폐</t>
        </is>
      </c>
      <c r="E18" s="10" t="n"/>
      <c r="F18" s="10" t="n"/>
      <c r="G18" s="11" t="n"/>
    </row>
    <row r="19">
      <c r="A19" s="13" t="n">
        <v>18</v>
      </c>
      <c r="B19" s="9" t="inlineStr">
        <is>
          <t>거실 / 침실</t>
        </is>
      </c>
      <c r="C19" s="13" t="inlineStr">
        <is>
          <t>문·창호</t>
        </is>
      </c>
      <c r="D19" s="9" t="inlineStr">
        <is>
          <t>창틀 하부 배수구멍 막힘 여부</t>
        </is>
      </c>
      <c r="E19" s="10" t="n"/>
      <c r="F19" s="10" t="n"/>
      <c r="G19" s="11" t="n"/>
    </row>
    <row r="20">
      <c r="A20" s="13" t="n">
        <v>19</v>
      </c>
      <c r="B20" s="9" t="inlineStr">
        <is>
          <t>거실 / 침실</t>
        </is>
      </c>
      <c r="C20" s="13" t="inlineStr">
        <is>
          <t>전기·설비</t>
        </is>
      </c>
      <c r="D20" s="9" t="inlineStr">
        <is>
          <t>모든 스위치 ON/OFF, 조명 깜빡임</t>
        </is>
      </c>
      <c r="E20" s="10" t="n"/>
      <c r="F20" s="10" t="n"/>
      <c r="G20" s="11" t="n"/>
    </row>
    <row r="21">
      <c r="A21" s="13" t="n">
        <v>20</v>
      </c>
      <c r="B21" s="9" t="inlineStr">
        <is>
          <t>거실 / 침실</t>
        </is>
      </c>
      <c r="C21" s="13" t="inlineStr">
        <is>
          <t>전기·설비</t>
        </is>
      </c>
      <c r="D21" s="9" t="inlineStr">
        <is>
          <t>모든 콘센트 통전 (충전기를 하나씩 꽂아 보기), 커버 고정</t>
        </is>
      </c>
      <c r="E21" s="10" t="n"/>
      <c r="F21" s="10" t="n"/>
      <c r="G21" s="11" t="n"/>
    </row>
    <row r="22">
      <c r="A22" s="13" t="n">
        <v>21</v>
      </c>
      <c r="B22" s="9" t="inlineStr">
        <is>
          <t>거실 / 침실</t>
        </is>
      </c>
      <c r="C22" s="13" t="inlineStr">
        <is>
          <t>전기·설비</t>
        </is>
      </c>
      <c r="D22" s="9" t="inlineStr">
        <is>
          <t>TV·통신 단자 위치와 커버</t>
        </is>
      </c>
      <c r="E22" s="10" t="n"/>
      <c r="F22" s="10" t="n"/>
      <c r="G22" s="11" t="n"/>
    </row>
    <row r="23">
      <c r="A23" s="13" t="n">
        <v>22</v>
      </c>
      <c r="B23" s="9" t="inlineStr">
        <is>
          <t>거실 / 침실</t>
        </is>
      </c>
      <c r="C23" s="13" t="inlineStr">
        <is>
          <t>전기·설비</t>
        </is>
      </c>
      <c r="D23" s="9" t="inlineStr">
        <is>
          <t>온도조절기 작동, 바닥 난방</t>
        </is>
      </c>
      <c r="E23" s="10" t="n"/>
      <c r="F23" s="10" t="n"/>
      <c r="G23" s="11" t="n"/>
    </row>
    <row r="24">
      <c r="A24" s="13" t="n">
        <v>23</v>
      </c>
      <c r="B24" s="9" t="inlineStr">
        <is>
          <t>거실 / 침실</t>
        </is>
      </c>
      <c r="C24" s="13" t="inlineStr">
        <is>
          <t>전기·설비</t>
        </is>
      </c>
      <c r="D24" s="9" t="inlineStr">
        <is>
          <t>에어컨 배관 슬리브·매립 배관 위치 (옵션 계약과 대조)</t>
        </is>
      </c>
      <c r="E24" s="10" t="n"/>
      <c r="F24" s="10" t="n"/>
      <c r="G24" s="11" t="n"/>
    </row>
    <row r="25">
      <c r="A25" s="13" t="n">
        <v>24</v>
      </c>
      <c r="B25" s="9" t="inlineStr">
        <is>
          <t>주방</t>
        </is>
      </c>
      <c r="C25" s="13" t="inlineStr"/>
      <c r="D25" s="9" t="inlineStr">
        <is>
          <t>상부장·하부장 문 수평과 간격, 경첩, 서랍 레일</t>
        </is>
      </c>
      <c r="E25" s="10" t="n"/>
      <c r="F25" s="10" t="n"/>
      <c r="G25" s="11" t="n"/>
    </row>
    <row r="26">
      <c r="A26" s="13" t="n">
        <v>25</v>
      </c>
      <c r="B26" s="9" t="inlineStr">
        <is>
          <t>주방</t>
        </is>
      </c>
      <c r="C26" s="13" t="inlineStr"/>
      <c r="D26" s="9" t="inlineStr">
        <is>
          <t>상판 스크래치·깨짐, 상판과 벽 사이 실리콘</t>
        </is>
      </c>
      <c r="E26" s="10" t="n"/>
      <c r="F26" s="10" t="n"/>
      <c r="G26" s="11" t="n"/>
    </row>
    <row r="27">
      <c r="A27" s="13" t="n">
        <v>26</v>
      </c>
      <c r="B27" s="9" t="inlineStr">
        <is>
          <t>주방</t>
        </is>
      </c>
      <c r="C27" s="13" t="inlineStr"/>
      <c r="D27" s="9" t="inlineStr">
        <is>
          <t>싱크볼 스크래치, 수전 냉·온수, 수압</t>
        </is>
      </c>
      <c r="E27" s="10" t="n"/>
      <c r="F27" s="10" t="n"/>
      <c r="G27" s="11" t="n"/>
    </row>
    <row r="28">
      <c r="A28" s="13" t="n">
        <v>27</v>
      </c>
      <c r="B28" s="9" t="inlineStr">
        <is>
          <t>주방</t>
        </is>
      </c>
      <c r="C28" s="13" t="inlineStr"/>
      <c r="D28" s="9" t="inlineStr">
        <is>
          <t>물을 틀어 놓고 싱크대 하부 배관 누수 확인 (손전등 + 거울)</t>
        </is>
      </c>
      <c r="E28" s="10" t="n"/>
      <c r="F28" s="10" t="n"/>
      <c r="G28" s="11" t="n"/>
    </row>
    <row r="29">
      <c r="A29" s="13" t="n">
        <v>28</v>
      </c>
      <c r="B29" s="9" t="inlineStr">
        <is>
          <t>주방</t>
        </is>
      </c>
      <c r="C29" s="13" t="inlineStr"/>
      <c r="D29" s="9" t="inlineStr">
        <is>
          <t>배수 속도, 배수구 냄새</t>
        </is>
      </c>
      <c r="E29" s="10" t="n"/>
      <c r="F29" s="10" t="n"/>
      <c r="G29" s="11" t="n"/>
    </row>
    <row r="30">
      <c r="A30" s="13" t="n">
        <v>29</v>
      </c>
      <c r="B30" s="9" t="inlineStr">
        <is>
          <t>주방</t>
        </is>
      </c>
      <c r="C30" s="13" t="inlineStr"/>
      <c r="D30" s="9" t="inlineStr">
        <is>
          <t>쿡탑·후드(흡입·조명) 작동, 후드 덕트 연결</t>
        </is>
      </c>
      <c r="E30" s="10" t="n"/>
      <c r="F30" s="10" t="n"/>
      <c r="G30" s="11" t="n"/>
    </row>
    <row r="31">
      <c r="A31" s="13" t="n">
        <v>30</v>
      </c>
      <c r="B31" s="9" t="inlineStr">
        <is>
          <t>주방</t>
        </is>
      </c>
      <c r="C31" s="13" t="inlineStr"/>
      <c r="D31" s="9" t="inlineStr">
        <is>
          <t>빌트인 가전(식세기·오븐·냉장고장) 작동 — 옵션 계약과 대조</t>
        </is>
      </c>
      <c r="E31" s="10" t="n"/>
      <c r="F31" s="10" t="n"/>
      <c r="G31" s="11" t="n"/>
    </row>
    <row r="32">
      <c r="A32" s="13" t="n">
        <v>31</v>
      </c>
      <c r="B32" s="9" t="inlineStr">
        <is>
          <t>주방</t>
        </is>
      </c>
      <c r="C32" s="13" t="inlineStr"/>
      <c r="D32" s="9" t="inlineStr">
        <is>
          <t>주방 벽 타일 들뜸(타격)·줄눈·깨짐</t>
        </is>
      </c>
      <c r="E32" s="10" t="n"/>
      <c r="F32" s="10" t="n"/>
      <c r="G32" s="11" t="n"/>
    </row>
    <row r="33">
      <c r="A33" s="13" t="n">
        <v>32</v>
      </c>
      <c r="B33" s="9" t="inlineStr">
        <is>
          <t>주방</t>
        </is>
      </c>
      <c r="C33" s="13" t="inlineStr"/>
      <c r="D33" s="9" t="inlineStr">
        <is>
          <t>가스 배관·밸브 (가스 공급 전이면 위치만 확인)</t>
        </is>
      </c>
      <c r="E33" s="10" t="n"/>
      <c r="F33" s="10" t="n"/>
      <c r="G33" s="11" t="n"/>
    </row>
    <row r="34">
      <c r="A34" s="13" t="n">
        <v>33</v>
      </c>
      <c r="B34" s="9" t="inlineStr">
        <is>
          <t>욕실</t>
        </is>
      </c>
      <c r="C34" s="13" t="inlineStr">
        <is>
          <t>타일·실리콘</t>
        </is>
      </c>
      <c r="D34" s="9" t="inlineStr">
        <is>
          <t>벽·바닥 타일 타격 점검 — 빈 소리(텅텅) 나면 들뜸</t>
        </is>
      </c>
      <c r="E34" s="10" t="n"/>
      <c r="F34" s="10" t="n"/>
      <c r="G34" s="11" t="n"/>
    </row>
    <row r="35">
      <c r="A35" s="13" t="n">
        <v>34</v>
      </c>
      <c r="B35" s="9" t="inlineStr">
        <is>
          <t>욕실</t>
        </is>
      </c>
      <c r="C35" s="13" t="inlineStr">
        <is>
          <t>타일·실리콘</t>
        </is>
      </c>
      <c r="D35" s="9" t="inlineStr">
        <is>
          <t>타일 깨짐, 단차(손으로 쓸어 보기), 줄눈 빠짐</t>
        </is>
      </c>
      <c r="E35" s="10" t="n"/>
      <c r="F35" s="10" t="n"/>
      <c r="G35" s="11" t="n"/>
    </row>
    <row r="36">
      <c r="A36" s="13" t="n">
        <v>35</v>
      </c>
      <c r="B36" s="9" t="inlineStr">
        <is>
          <t>욕실</t>
        </is>
      </c>
      <c r="C36" s="13" t="inlineStr">
        <is>
          <t>타일·실리콘</t>
        </is>
      </c>
      <c r="D36" s="9" t="inlineStr">
        <is>
          <t>세면대·욕조·샤워부스·변기 주변 실리콘 빈 곳, 끊김</t>
        </is>
      </c>
      <c r="E36" s="10" t="n"/>
      <c r="F36" s="10" t="n"/>
      <c r="G36" s="11" t="n"/>
    </row>
    <row r="37">
      <c r="A37" s="13" t="n">
        <v>36</v>
      </c>
      <c r="B37" s="9" t="inlineStr">
        <is>
          <t>욕실</t>
        </is>
      </c>
      <c r="C37" s="13" t="inlineStr">
        <is>
          <t>배수·구배</t>
        </is>
      </c>
      <c r="D37" s="9" t="inlineStr">
        <is>
          <t>바닥에 바가지로 물을 부어 배수구 방향으로 흐르는지, 고이는 곳이 없는지 (영상으로 기록)</t>
        </is>
      </c>
      <c r="E37" s="10" t="n"/>
      <c r="F37" s="10" t="n"/>
      <c r="G37" s="11" t="n"/>
    </row>
    <row r="38">
      <c r="A38" s="13" t="n">
        <v>37</v>
      </c>
      <c r="B38" s="9" t="inlineStr">
        <is>
          <t>욕실</t>
        </is>
      </c>
      <c r="C38" s="13" t="inlineStr">
        <is>
          <t>배수·구배</t>
        </is>
      </c>
      <c r="D38" s="9" t="inlineStr">
        <is>
          <t>세면대·욕조·샤워 배수 속도</t>
        </is>
      </c>
      <c r="E38" s="10" t="n"/>
      <c r="F38" s="10" t="n"/>
      <c r="G38" s="11" t="n"/>
    </row>
    <row r="39">
      <c r="A39" s="13" t="n">
        <v>38</v>
      </c>
      <c r="B39" s="9" t="inlineStr">
        <is>
          <t>욕실</t>
        </is>
      </c>
      <c r="C39" s="13" t="inlineStr">
        <is>
          <t>배수·구배</t>
        </is>
      </c>
      <c r="D39" s="9" t="inlineStr">
        <is>
          <t>욕실 문턱 밖으로 물이 넘치지 않는지</t>
        </is>
      </c>
      <c r="E39" s="10" t="n"/>
      <c r="F39" s="10" t="n"/>
      <c r="G39" s="11" t="n"/>
    </row>
    <row r="40">
      <c r="A40" s="13" t="n">
        <v>39</v>
      </c>
      <c r="B40" s="9" t="inlineStr">
        <is>
          <t>욕실</t>
        </is>
      </c>
      <c r="C40" s="13" t="inlineStr">
        <is>
          <t>위생기구·수전</t>
        </is>
      </c>
      <c r="D40" s="9" t="inlineStr">
        <is>
          <t>변기 흔들림, 물 내림, 물 멈춤, 변기 하부 누수</t>
        </is>
      </c>
      <c r="E40" s="10" t="n"/>
      <c r="F40" s="10" t="n"/>
      <c r="G40" s="11" t="n"/>
    </row>
    <row r="41">
      <c r="A41" s="13" t="n">
        <v>40</v>
      </c>
      <c r="B41" s="9" t="inlineStr">
        <is>
          <t>욕실</t>
        </is>
      </c>
      <c r="C41" s="13" t="inlineStr">
        <is>
          <t>위생기구·수전</t>
        </is>
      </c>
      <c r="D41" s="9" t="inlineStr">
        <is>
          <t>세면대 고정(눌러 보기), 하부 배관 누수</t>
        </is>
      </c>
      <c r="E41" s="10" t="n"/>
      <c r="F41" s="10" t="n"/>
      <c r="G41" s="11" t="n"/>
    </row>
    <row r="42">
      <c r="A42" s="13" t="n">
        <v>41</v>
      </c>
      <c r="B42" s="9" t="inlineStr">
        <is>
          <t>욕실</t>
        </is>
      </c>
      <c r="C42" s="13" t="inlineStr">
        <is>
          <t>위생기구·수전</t>
        </is>
      </c>
      <c r="D42" s="9" t="inlineStr">
        <is>
          <t>수전 냉·온수 방향, 수압, 샤워헤드·해바라기 전환</t>
        </is>
      </c>
      <c r="E42" s="10" t="n"/>
      <c r="F42" s="10" t="n"/>
      <c r="G42" s="11" t="n"/>
    </row>
    <row r="43">
      <c r="A43" s="13" t="n">
        <v>42</v>
      </c>
      <c r="B43" s="9" t="inlineStr">
        <is>
          <t>욕실</t>
        </is>
      </c>
      <c r="C43" s="13" t="inlineStr">
        <is>
          <t>위생기구·수전</t>
        </is>
      </c>
      <c r="D43" s="9" t="inlineStr">
        <is>
          <t>샤워부스 유리 고정, 문 개폐, 하부 물막이</t>
        </is>
      </c>
      <c r="E43" s="10" t="n"/>
      <c r="F43" s="10" t="n"/>
      <c r="G43" s="11" t="n"/>
    </row>
    <row r="44">
      <c r="A44" s="13" t="n">
        <v>43</v>
      </c>
      <c r="B44" s="9" t="inlineStr">
        <is>
          <t>욕실</t>
        </is>
      </c>
      <c r="C44" s="13" t="inlineStr">
        <is>
          <t>기타</t>
        </is>
      </c>
      <c r="D44" s="9" t="inlineStr">
        <is>
          <t>환풍기 작동 (휴지를 대 보기), 천장 점검구 열어 보기</t>
        </is>
      </c>
      <c r="E44" s="10" t="n"/>
      <c r="F44" s="10" t="n"/>
      <c r="G44" s="11" t="n"/>
    </row>
    <row r="45">
      <c r="A45" s="13" t="n">
        <v>44</v>
      </c>
      <c r="B45" s="9" t="inlineStr">
        <is>
          <t>욕실</t>
        </is>
      </c>
      <c r="C45" s="13" t="inlineStr">
        <is>
          <t>기타</t>
        </is>
      </c>
      <c r="D45" s="9" t="inlineStr">
        <is>
          <t>욕실장·거울 고정, 수건걸이·휴지걸이 고정</t>
        </is>
      </c>
      <c r="E45" s="10" t="n"/>
      <c r="F45" s="10" t="n"/>
      <c r="G45" s="11" t="n"/>
    </row>
    <row r="46">
      <c r="A46" s="13" t="n">
        <v>45</v>
      </c>
      <c r="B46" s="9" t="inlineStr">
        <is>
          <t>욕실</t>
        </is>
      </c>
      <c r="C46" s="13" t="inlineStr">
        <is>
          <t>기타</t>
        </is>
      </c>
      <c r="D46" s="9" t="inlineStr">
        <is>
          <t>욕실 조명, 비데 콘센트 위치</t>
        </is>
      </c>
      <c r="E46" s="10" t="n"/>
      <c r="F46" s="10" t="n"/>
      <c r="G46" s="11" t="n"/>
    </row>
    <row r="47">
      <c r="A47" s="13" t="n">
        <v>46</v>
      </c>
      <c r="B47" s="9" t="inlineStr">
        <is>
          <t>발코니 / 다용도실 / 실외기실</t>
        </is>
      </c>
      <c r="C47" s="13" t="inlineStr"/>
      <c r="D47" s="9" t="inlineStr">
        <is>
          <t>바닥 배수구에 물 부어 배수 확인, 구배</t>
        </is>
      </c>
      <c r="E47" s="10" t="n"/>
      <c r="F47" s="10" t="n"/>
      <c r="G47" s="11" t="n"/>
    </row>
    <row r="48">
      <c r="A48" s="13" t="n">
        <v>47</v>
      </c>
      <c r="B48" s="9" t="inlineStr">
        <is>
          <t>발코니 / 다용도실 / 실외기실</t>
        </is>
      </c>
      <c r="C48" s="13" t="inlineStr"/>
      <c r="D48" s="9" t="inlineStr">
        <is>
          <t>벽·천장 도장 상태, 결로·곰팡이·누수 흔적</t>
        </is>
      </c>
      <c r="E48" s="10" t="n"/>
      <c r="F48" s="10" t="n"/>
      <c r="G48" s="11" t="n"/>
    </row>
    <row r="49">
      <c r="A49" s="13" t="n">
        <v>48</v>
      </c>
      <c r="B49" s="9" t="inlineStr">
        <is>
          <t>발코니 / 다용도실 / 실외기실</t>
        </is>
      </c>
      <c r="C49" s="13" t="inlineStr"/>
      <c r="D49" s="9" t="inlineStr">
        <is>
          <t>세탁기 수전(냉·온수)과 배수구 위치</t>
        </is>
      </c>
      <c r="E49" s="10" t="n"/>
      <c r="F49" s="10" t="n"/>
      <c r="G49" s="11" t="n"/>
    </row>
    <row r="50">
      <c r="A50" s="13" t="n">
        <v>49</v>
      </c>
      <c r="B50" s="9" t="inlineStr">
        <is>
          <t>발코니 / 다용도실 / 실외기실</t>
        </is>
      </c>
      <c r="C50" s="13" t="inlineStr"/>
      <c r="D50" s="9" t="inlineStr">
        <is>
          <t>보일러 작동, 배관 연결, 보일러 주변 누수</t>
        </is>
      </c>
      <c r="E50" s="10" t="n"/>
      <c r="F50" s="10" t="n"/>
      <c r="G50" s="11" t="n"/>
    </row>
    <row r="51">
      <c r="A51" s="13" t="n">
        <v>50</v>
      </c>
      <c r="B51" s="9" t="inlineStr">
        <is>
          <t>발코니 / 다용도실 / 실외기실</t>
        </is>
      </c>
      <c r="C51" s="13" t="inlineStr"/>
      <c r="D51" s="9" t="inlineStr">
        <is>
          <t>실외기실 루버(갤러리) 개폐, 실외기 거치대</t>
        </is>
      </c>
      <c r="E51" s="10" t="n"/>
      <c r="F51" s="10" t="n"/>
      <c r="G51" s="11" t="n"/>
    </row>
    <row r="52">
      <c r="A52" s="13" t="n">
        <v>51</v>
      </c>
      <c r="B52" s="9" t="inlineStr">
        <is>
          <t>발코니 / 다용도실 / 실외기실</t>
        </is>
      </c>
      <c r="C52" s="13" t="inlineStr"/>
      <c r="D52" s="9" t="inlineStr">
        <is>
          <t>발코니 창호 개폐, 잠금, 방충망</t>
        </is>
      </c>
      <c r="E52" s="10" t="n"/>
      <c r="F52" s="10" t="n"/>
      <c r="G52" s="11" t="n"/>
    </row>
    <row r="53">
      <c r="A53" s="13" t="n">
        <v>52</v>
      </c>
      <c r="B53" s="9" t="inlineStr">
        <is>
          <t>발코니 / 다용도실 / 실외기실</t>
        </is>
      </c>
      <c r="C53" s="13" t="inlineStr"/>
      <c r="D53" s="9" t="inlineStr">
        <is>
          <t>빨래건조대 고정과 작동</t>
        </is>
      </c>
      <c r="E53" s="10" t="n"/>
      <c r="F53" s="10" t="n"/>
      <c r="G53" s="11" t="n"/>
    </row>
    <row r="54">
      <c r="A54" s="13" t="n">
        <v>53</v>
      </c>
      <c r="B54" s="9" t="inlineStr">
        <is>
          <t>발코니 / 다용도실 / 실외기실</t>
        </is>
      </c>
      <c r="C54" s="13" t="inlineStr"/>
      <c r="D54" s="9" t="inlineStr">
        <is>
          <t>확장 부위 단열 (손을 대 보아 유난히 찬 곳이 있는지)</t>
        </is>
      </c>
      <c r="E54" s="10" t="n"/>
      <c r="F54" s="10" t="n"/>
      <c r="G54" s="11" t="n"/>
    </row>
    <row r="55">
      <c r="A55" s="13" t="n">
        <v>54</v>
      </c>
      <c r="B55" s="9" t="inlineStr">
        <is>
          <t>드레스룸 / 팬트리 / 수납</t>
        </is>
      </c>
      <c r="C55" s="13" t="inlineStr"/>
      <c r="D55" s="9" t="inlineStr">
        <is>
          <t>시스템 선반·행거 고정, 수평</t>
        </is>
      </c>
      <c r="E55" s="10" t="n"/>
      <c r="F55" s="10" t="n"/>
      <c r="G55" s="11" t="n"/>
    </row>
    <row r="56">
      <c r="A56" s="13" t="n">
        <v>55</v>
      </c>
      <c r="B56" s="9" t="inlineStr">
        <is>
          <t>드레스룸 / 팬트리 / 수납</t>
        </is>
      </c>
      <c r="C56" s="13" t="inlineStr"/>
      <c r="D56" s="9" t="inlineStr">
        <is>
          <t>수납장 문·서랍 작동, 마감</t>
        </is>
      </c>
      <c r="E56" s="10" t="n"/>
      <c r="F56" s="10" t="n"/>
      <c r="G56" s="11" t="n"/>
    </row>
    <row r="57">
      <c r="A57" s="13" t="n">
        <v>56</v>
      </c>
      <c r="B57" s="9" t="inlineStr">
        <is>
          <t>드레스룸 / 팬트리 / 수납</t>
        </is>
      </c>
      <c r="C57" s="13" t="inlineStr"/>
      <c r="D57" s="9" t="inlineStr">
        <is>
          <t>조명(센서등) 작동</t>
        </is>
      </c>
      <c r="E57" s="10" t="n"/>
      <c r="F57" s="10" t="n"/>
      <c r="G57" s="11" t="n"/>
    </row>
    <row r="58">
      <c r="A58" s="13" t="n">
        <v>57</v>
      </c>
      <c r="B58" s="9" t="inlineStr">
        <is>
          <t>공용·설비</t>
        </is>
      </c>
      <c r="C58" s="13" t="inlineStr"/>
      <c r="D58" s="9" t="inlineStr">
        <is>
          <t>월패드: 인터폰, 공동현관 호출, 엘리베이터 호출, 환기, 조명 제어</t>
        </is>
      </c>
      <c r="E58" s="10" t="n"/>
      <c r="F58" s="10" t="n"/>
      <c r="G58" s="11" t="n"/>
    </row>
    <row r="59">
      <c r="A59" s="13" t="n">
        <v>58</v>
      </c>
      <c r="B59" s="9" t="inlineStr">
        <is>
          <t>공용·설비</t>
        </is>
      </c>
      <c r="C59" s="13" t="inlineStr"/>
      <c r="D59" s="9" t="inlineStr">
        <is>
          <t>전기 분전반(두꺼비집) 차단기 이름 표기</t>
        </is>
      </c>
      <c r="E59" s="10" t="n"/>
      <c r="F59" s="10" t="n"/>
      <c r="G59" s="11" t="n"/>
    </row>
    <row r="60">
      <c r="A60" s="13" t="n">
        <v>59</v>
      </c>
      <c r="B60" s="9" t="inlineStr">
        <is>
          <t>공용·설비</t>
        </is>
      </c>
      <c r="C60" s="13" t="inlineStr"/>
      <c r="D60" s="9" t="inlineStr">
        <is>
          <t>환기(전열교환기) 작동, 필터</t>
        </is>
      </c>
      <c r="E60" s="10" t="n"/>
      <c r="F60" s="10" t="n"/>
      <c r="G60" s="11" t="n"/>
    </row>
    <row r="61">
      <c r="A61" s="13" t="n">
        <v>60</v>
      </c>
      <c r="B61" s="9" t="inlineStr">
        <is>
          <t>공용·설비</t>
        </is>
      </c>
      <c r="C61" s="13" t="inlineStr"/>
      <c r="D61" s="9" t="inlineStr">
        <is>
          <t>화재감지기, 스프링클러 헤드 손상 여부</t>
        </is>
      </c>
      <c r="E61" s="10" t="n"/>
      <c r="F61" s="10" t="n"/>
      <c r="G61" s="11" t="n"/>
    </row>
    <row r="62">
      <c r="A62" s="13" t="n">
        <v>61</v>
      </c>
      <c r="B62" s="9" t="inlineStr">
        <is>
          <t>공용·설비</t>
        </is>
      </c>
      <c r="C62" s="13" t="inlineStr"/>
      <c r="D62" s="9" t="inlineStr">
        <is>
          <t>세대 창고, 주차 위치 (해당되면)</t>
        </is>
      </c>
      <c r="E62" s="10" t="n"/>
      <c r="F62" s="10" t="n"/>
      <c r="G62" s="11" t="n"/>
    </row>
  </sheetData>
  <autoFilter ref="A1:G62"/>
  <conditionalFormatting sqref="E2:E62">
    <cfRule type="cellIs" priority="1" operator="equal" dxfId="0">
      <formula>"✖"</formula>
    </cfRule>
    <cfRule type="cellIs" priority="2" operator="equal" dxfId="1">
      <formula>"○"</formula>
    </cfRule>
    <cfRule type="cellIs" priority="3" operator="equal" dxfId="2">
      <formula>"△"</formula>
    </cfRule>
  </conditionalFormatting>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showDropDown="0" showInputMessage="0" showErrorMessage="0" allowBlank="1"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30" customWidth="1" min="3" max="3"/>
    <col width="34" customWidth="1" min="4" max="4"/>
    <col width="8" customWidth="1" min="5" max="5"/>
    <col width="12" customWidth="1" min="6" max="6"/>
    <col width="12" customWidth="1" min="7" max="7"/>
    <col width="12" customWidth="1" min="8" max="8"/>
    <col width="12" customWidth="1" min="9" max="9"/>
    <col width="24" customWidth="1" min="10" max="10"/>
    <col width="48" customWidth="1" min="11" max="11"/>
  </cols>
  <sheetData>
    <row r="1" ht="24" customHeight="1">
      <c r="A1" s="8" t="inlineStr">
        <is>
          <t>하자번호</t>
        </is>
      </c>
      <c r="B1" s="8" t="inlineStr">
        <is>
          <t>공간</t>
        </is>
      </c>
      <c r="C1" s="8" t="inlineStr">
        <is>
          <t>위치(구체적으로)</t>
        </is>
      </c>
      <c r="D1" s="8" t="inlineStr">
        <is>
          <t>증상</t>
        </is>
      </c>
      <c r="E1" s="8" t="inlineStr">
        <is>
          <t>사진</t>
        </is>
      </c>
      <c r="F1" s="8" t="inlineStr">
        <is>
          <t>접수일</t>
        </is>
      </c>
      <c r="G1" s="8" t="inlineStr">
        <is>
          <t>접수 방법</t>
        </is>
      </c>
      <c r="H1" s="8" t="inlineStr">
        <is>
          <t>보수 예정일</t>
        </is>
      </c>
      <c r="I1" s="8" t="inlineStr">
        <is>
          <t>보수 완료 확인</t>
        </is>
      </c>
      <c r="J1" s="8" t="inlineStr">
        <is>
          <t>비고</t>
        </is>
      </c>
      <c r="K1" s="8" t="inlineStr">
        <is>
          <t>앱 접수 문구 (자동 · 복사해서 붙여넣기)</t>
        </is>
      </c>
    </row>
    <row r="2">
      <c r="A2" s="14" t="inlineStr">
        <is>
          <t>예시) 1</t>
        </is>
      </c>
      <c r="B2" s="14" t="inlineStr">
        <is>
          <t>욕실</t>
        </is>
      </c>
      <c r="C2" s="15" t="inlineStr">
        <is>
          <t>안방 욕실 바닥, 배수구 왼쪽 30cm</t>
        </is>
      </c>
      <c r="D2" s="15" t="inlineStr">
        <is>
          <t>물 부으면 배수구 반대편에 고임 (영상 촬영)</t>
        </is>
      </c>
      <c r="E2" s="14" t="inlineStr">
        <is>
          <t>○</t>
        </is>
      </c>
      <c r="F2" s="16" t="n">
        <v>46303</v>
      </c>
      <c r="G2" s="14" t="inlineStr">
        <is>
          <t>더샵 앱/웹</t>
        </is>
      </c>
      <c r="H2" s="16" t="n">
        <v>46341</v>
      </c>
      <c r="I2" s="14" t="inlineStr">
        <is>
          <t>미완료</t>
        </is>
      </c>
      <c r="J2" s="15" t="inlineStr">
        <is>
          <t>이 줄은 예시입니다. 지우고 쓰세요</t>
        </is>
      </c>
      <c r="K2" s="9">
        <f>IF(C2="","",B2&amp;" / "&amp;C2&amp;" : "&amp;D2)</f>
        <v/>
      </c>
    </row>
    <row r="3">
      <c r="A3" s="10" t="n">
        <v>1</v>
      </c>
      <c r="B3" s="10" t="n"/>
      <c r="C3" s="11" t="n"/>
      <c r="D3" s="11" t="n"/>
      <c r="E3" s="10" t="n"/>
      <c r="F3" s="17" t="n"/>
      <c r="G3" s="10" t="n"/>
      <c r="H3" s="17" t="n"/>
      <c r="I3" s="10" t="n"/>
      <c r="J3" s="11" t="n"/>
      <c r="K3" s="9">
        <f>IF(C3="","",B3&amp;" / "&amp;C3&amp;" : "&amp;D3)</f>
        <v/>
      </c>
    </row>
    <row r="4">
      <c r="A4" s="10" t="n">
        <v>2</v>
      </c>
      <c r="B4" s="10" t="n"/>
      <c r="C4" s="11" t="n"/>
      <c r="D4" s="11" t="n"/>
      <c r="E4" s="10" t="n"/>
      <c r="F4" s="17" t="n"/>
      <c r="G4" s="10" t="n"/>
      <c r="H4" s="17" t="n"/>
      <c r="I4" s="10" t="n"/>
      <c r="J4" s="11" t="n"/>
      <c r="K4" s="9">
        <f>IF(C4="","",B4&amp;" / "&amp;C4&amp;" : "&amp;D4)</f>
        <v/>
      </c>
    </row>
    <row r="5">
      <c r="A5" s="10" t="n">
        <v>3</v>
      </c>
      <c r="B5" s="10" t="n"/>
      <c r="C5" s="11" t="n"/>
      <c r="D5" s="11" t="n"/>
      <c r="E5" s="10" t="n"/>
      <c r="F5" s="17" t="n"/>
      <c r="G5" s="10" t="n"/>
      <c r="H5" s="17" t="n"/>
      <c r="I5" s="10" t="n"/>
      <c r="J5" s="11" t="n"/>
      <c r="K5" s="9">
        <f>IF(C5="","",B5&amp;" / "&amp;C5&amp;" : "&amp;D5)</f>
        <v/>
      </c>
    </row>
    <row r="6">
      <c r="A6" s="10" t="n">
        <v>4</v>
      </c>
      <c r="B6" s="10" t="n"/>
      <c r="C6" s="11" t="n"/>
      <c r="D6" s="11" t="n"/>
      <c r="E6" s="10" t="n"/>
      <c r="F6" s="17" t="n"/>
      <c r="G6" s="10" t="n"/>
      <c r="H6" s="17" t="n"/>
      <c r="I6" s="10" t="n"/>
      <c r="J6" s="11" t="n"/>
      <c r="K6" s="9">
        <f>IF(C6="","",B6&amp;" / "&amp;C6&amp;" : "&amp;D6)</f>
        <v/>
      </c>
    </row>
    <row r="7">
      <c r="A7" s="10" t="n">
        <v>5</v>
      </c>
      <c r="B7" s="10" t="n"/>
      <c r="C7" s="11" t="n"/>
      <c r="D7" s="11" t="n"/>
      <c r="E7" s="10" t="n"/>
      <c r="F7" s="17" t="n"/>
      <c r="G7" s="10" t="n"/>
      <c r="H7" s="17" t="n"/>
      <c r="I7" s="10" t="n"/>
      <c r="J7" s="11" t="n"/>
      <c r="K7" s="9">
        <f>IF(C7="","",B7&amp;" / "&amp;C7&amp;" : "&amp;D7)</f>
        <v/>
      </c>
    </row>
    <row r="8">
      <c r="A8" s="10" t="n">
        <v>6</v>
      </c>
      <c r="B8" s="10" t="n"/>
      <c r="C8" s="11" t="n"/>
      <c r="D8" s="11" t="n"/>
      <c r="E8" s="10" t="n"/>
      <c r="F8" s="17" t="n"/>
      <c r="G8" s="10" t="n"/>
      <c r="H8" s="17" t="n"/>
      <c r="I8" s="10" t="n"/>
      <c r="J8" s="11" t="n"/>
      <c r="K8" s="9">
        <f>IF(C8="","",B8&amp;" / "&amp;C8&amp;" : "&amp;D8)</f>
        <v/>
      </c>
    </row>
    <row r="9">
      <c r="A9" s="10" t="n">
        <v>7</v>
      </c>
      <c r="B9" s="10" t="n"/>
      <c r="C9" s="11" t="n"/>
      <c r="D9" s="11" t="n"/>
      <c r="E9" s="10" t="n"/>
      <c r="F9" s="17" t="n"/>
      <c r="G9" s="10" t="n"/>
      <c r="H9" s="17" t="n"/>
      <c r="I9" s="10" t="n"/>
      <c r="J9" s="11" t="n"/>
      <c r="K9" s="9">
        <f>IF(C9="","",B9&amp;" / "&amp;C9&amp;" : "&amp;D9)</f>
        <v/>
      </c>
    </row>
    <row r="10">
      <c r="A10" s="10" t="n">
        <v>8</v>
      </c>
      <c r="B10" s="10" t="n"/>
      <c r="C10" s="11" t="n"/>
      <c r="D10" s="11" t="n"/>
      <c r="E10" s="10" t="n"/>
      <c r="F10" s="17" t="n"/>
      <c r="G10" s="10" t="n"/>
      <c r="H10" s="17" t="n"/>
      <c r="I10" s="10" t="n"/>
      <c r="J10" s="11" t="n"/>
      <c r="K10" s="9">
        <f>IF(C10="","",B10&amp;" / "&amp;C10&amp;" : "&amp;D10)</f>
        <v/>
      </c>
    </row>
    <row r="11">
      <c r="A11" s="10" t="n">
        <v>9</v>
      </c>
      <c r="B11" s="10" t="n"/>
      <c r="C11" s="11" t="n"/>
      <c r="D11" s="11" t="n"/>
      <c r="E11" s="10" t="n"/>
      <c r="F11" s="17" t="n"/>
      <c r="G11" s="10" t="n"/>
      <c r="H11" s="17" t="n"/>
      <c r="I11" s="10" t="n"/>
      <c r="J11" s="11" t="n"/>
      <c r="K11" s="9">
        <f>IF(C11="","",B11&amp;" / "&amp;C11&amp;" : "&amp;D11)</f>
        <v/>
      </c>
    </row>
    <row r="12">
      <c r="A12" s="10" t="n">
        <v>10</v>
      </c>
      <c r="B12" s="10" t="n"/>
      <c r="C12" s="11" t="n"/>
      <c r="D12" s="11" t="n"/>
      <c r="E12" s="10" t="n"/>
      <c r="F12" s="17" t="n"/>
      <c r="G12" s="10" t="n"/>
      <c r="H12" s="17" t="n"/>
      <c r="I12" s="10" t="n"/>
      <c r="J12" s="11" t="n"/>
      <c r="K12" s="9">
        <f>IF(C12="","",B12&amp;" / "&amp;C12&amp;" : "&amp;D12)</f>
        <v/>
      </c>
    </row>
    <row r="13">
      <c r="A13" s="10" t="n">
        <v>11</v>
      </c>
      <c r="B13" s="10" t="n"/>
      <c r="C13" s="11" t="n"/>
      <c r="D13" s="11" t="n"/>
      <c r="E13" s="10" t="n"/>
      <c r="F13" s="17" t="n"/>
      <c r="G13" s="10" t="n"/>
      <c r="H13" s="17" t="n"/>
      <c r="I13" s="10" t="n"/>
      <c r="J13" s="11" t="n"/>
      <c r="K13" s="9">
        <f>IF(C13="","",B13&amp;" / "&amp;C13&amp;" : "&amp;D13)</f>
        <v/>
      </c>
    </row>
    <row r="14">
      <c r="A14" s="10" t="n">
        <v>12</v>
      </c>
      <c r="B14" s="10" t="n"/>
      <c r="C14" s="11" t="n"/>
      <c r="D14" s="11" t="n"/>
      <c r="E14" s="10" t="n"/>
      <c r="F14" s="17" t="n"/>
      <c r="G14" s="10" t="n"/>
      <c r="H14" s="17" t="n"/>
      <c r="I14" s="10" t="n"/>
      <c r="J14" s="11" t="n"/>
      <c r="K14" s="9">
        <f>IF(C14="","",B14&amp;" / "&amp;C14&amp;" : "&amp;D14)</f>
        <v/>
      </c>
    </row>
    <row r="15">
      <c r="A15" s="10" t="n">
        <v>13</v>
      </c>
      <c r="B15" s="10" t="n"/>
      <c r="C15" s="11" t="n"/>
      <c r="D15" s="11" t="n"/>
      <c r="E15" s="10" t="n"/>
      <c r="F15" s="17" t="n"/>
      <c r="G15" s="10" t="n"/>
      <c r="H15" s="17" t="n"/>
      <c r="I15" s="10" t="n"/>
      <c r="J15" s="11" t="n"/>
      <c r="K15" s="9">
        <f>IF(C15="","",B15&amp;" / "&amp;C15&amp;" : "&amp;D15)</f>
        <v/>
      </c>
    </row>
    <row r="16">
      <c r="A16" s="10" t="n">
        <v>14</v>
      </c>
      <c r="B16" s="10" t="n"/>
      <c r="C16" s="11" t="n"/>
      <c r="D16" s="11" t="n"/>
      <c r="E16" s="10" t="n"/>
      <c r="F16" s="17" t="n"/>
      <c r="G16" s="10" t="n"/>
      <c r="H16" s="17" t="n"/>
      <c r="I16" s="10" t="n"/>
      <c r="J16" s="11" t="n"/>
      <c r="K16" s="9">
        <f>IF(C16="","",B16&amp;" / "&amp;C16&amp;" : "&amp;D16)</f>
        <v/>
      </c>
    </row>
    <row r="17">
      <c r="A17" s="10" t="n">
        <v>15</v>
      </c>
      <c r="B17" s="10" t="n"/>
      <c r="C17" s="11" t="n"/>
      <c r="D17" s="11" t="n"/>
      <c r="E17" s="10" t="n"/>
      <c r="F17" s="17" t="n"/>
      <c r="G17" s="10" t="n"/>
      <c r="H17" s="17" t="n"/>
      <c r="I17" s="10" t="n"/>
      <c r="J17" s="11" t="n"/>
      <c r="K17" s="9">
        <f>IF(C17="","",B17&amp;" / "&amp;C17&amp;" : "&amp;D17)</f>
        <v/>
      </c>
    </row>
    <row r="18">
      <c r="A18" s="10" t="n">
        <v>16</v>
      </c>
      <c r="B18" s="10" t="n"/>
      <c r="C18" s="11" t="n"/>
      <c r="D18" s="11" t="n"/>
      <c r="E18" s="10" t="n"/>
      <c r="F18" s="17" t="n"/>
      <c r="G18" s="10" t="n"/>
      <c r="H18" s="17" t="n"/>
      <c r="I18" s="10" t="n"/>
      <c r="J18" s="11" t="n"/>
      <c r="K18" s="9">
        <f>IF(C18="","",B18&amp;" / "&amp;C18&amp;" : "&amp;D18)</f>
        <v/>
      </c>
    </row>
    <row r="19">
      <c r="A19" s="10" t="n">
        <v>17</v>
      </c>
      <c r="B19" s="10" t="n"/>
      <c r="C19" s="11" t="n"/>
      <c r="D19" s="11" t="n"/>
      <c r="E19" s="10" t="n"/>
      <c r="F19" s="17" t="n"/>
      <c r="G19" s="10" t="n"/>
      <c r="H19" s="17" t="n"/>
      <c r="I19" s="10" t="n"/>
      <c r="J19" s="11" t="n"/>
      <c r="K19" s="9">
        <f>IF(C19="","",B19&amp;" / "&amp;C19&amp;" : "&amp;D19)</f>
        <v/>
      </c>
    </row>
    <row r="20">
      <c r="A20" s="10" t="n">
        <v>18</v>
      </c>
      <c r="B20" s="10" t="n"/>
      <c r="C20" s="11" t="n"/>
      <c r="D20" s="11" t="n"/>
      <c r="E20" s="10" t="n"/>
      <c r="F20" s="17" t="n"/>
      <c r="G20" s="10" t="n"/>
      <c r="H20" s="17" t="n"/>
      <c r="I20" s="10" t="n"/>
      <c r="J20" s="11" t="n"/>
      <c r="K20" s="9">
        <f>IF(C20="","",B20&amp;" / "&amp;C20&amp;" : "&amp;D20)</f>
        <v/>
      </c>
    </row>
    <row r="21">
      <c r="A21" s="10" t="n">
        <v>19</v>
      </c>
      <c r="B21" s="10" t="n"/>
      <c r="C21" s="11" t="n"/>
      <c r="D21" s="11" t="n"/>
      <c r="E21" s="10" t="n"/>
      <c r="F21" s="17" t="n"/>
      <c r="G21" s="10" t="n"/>
      <c r="H21" s="17" t="n"/>
      <c r="I21" s="10" t="n"/>
      <c r="J21" s="11" t="n"/>
      <c r="K21" s="9">
        <f>IF(C21="","",B21&amp;" / "&amp;C21&amp;" : "&amp;D21)</f>
        <v/>
      </c>
    </row>
    <row r="22">
      <c r="A22" s="10" t="n">
        <v>20</v>
      </c>
      <c r="B22" s="10" t="n"/>
      <c r="C22" s="11" t="n"/>
      <c r="D22" s="11" t="n"/>
      <c r="E22" s="10" t="n"/>
      <c r="F22" s="17" t="n"/>
      <c r="G22" s="10" t="n"/>
      <c r="H22" s="17" t="n"/>
      <c r="I22" s="10" t="n"/>
      <c r="J22" s="11" t="n"/>
      <c r="K22" s="9">
        <f>IF(C22="","",B22&amp;" / "&amp;C22&amp;" : "&amp;D22)</f>
        <v/>
      </c>
    </row>
    <row r="23">
      <c r="A23" s="10" t="n">
        <v>21</v>
      </c>
      <c r="B23" s="10" t="n"/>
      <c r="C23" s="11" t="n"/>
      <c r="D23" s="11" t="n"/>
      <c r="E23" s="10" t="n"/>
      <c r="F23" s="17" t="n"/>
      <c r="G23" s="10" t="n"/>
      <c r="H23" s="17" t="n"/>
      <c r="I23" s="10" t="n"/>
      <c r="J23" s="11" t="n"/>
      <c r="K23" s="9">
        <f>IF(C23="","",B23&amp;" / "&amp;C23&amp;" : "&amp;D23)</f>
        <v/>
      </c>
    </row>
    <row r="24">
      <c r="A24" s="10" t="n">
        <v>22</v>
      </c>
      <c r="B24" s="10" t="n"/>
      <c r="C24" s="11" t="n"/>
      <c r="D24" s="11" t="n"/>
      <c r="E24" s="10" t="n"/>
      <c r="F24" s="17" t="n"/>
      <c r="G24" s="10" t="n"/>
      <c r="H24" s="17" t="n"/>
      <c r="I24" s="10" t="n"/>
      <c r="J24" s="11" t="n"/>
      <c r="K24" s="9">
        <f>IF(C24="","",B24&amp;" / "&amp;C24&amp;" : "&amp;D24)</f>
        <v/>
      </c>
    </row>
    <row r="25">
      <c r="A25" s="10" t="n">
        <v>23</v>
      </c>
      <c r="B25" s="10" t="n"/>
      <c r="C25" s="11" t="n"/>
      <c r="D25" s="11" t="n"/>
      <c r="E25" s="10" t="n"/>
      <c r="F25" s="17" t="n"/>
      <c r="G25" s="10" t="n"/>
      <c r="H25" s="17" t="n"/>
      <c r="I25" s="10" t="n"/>
      <c r="J25" s="11" t="n"/>
      <c r="K25" s="9">
        <f>IF(C25="","",B25&amp;" / "&amp;C25&amp;" : "&amp;D25)</f>
        <v/>
      </c>
    </row>
    <row r="26">
      <c r="A26" s="10" t="n">
        <v>24</v>
      </c>
      <c r="B26" s="10" t="n"/>
      <c r="C26" s="11" t="n"/>
      <c r="D26" s="11" t="n"/>
      <c r="E26" s="10" t="n"/>
      <c r="F26" s="17" t="n"/>
      <c r="G26" s="10" t="n"/>
      <c r="H26" s="17" t="n"/>
      <c r="I26" s="10" t="n"/>
      <c r="J26" s="11" t="n"/>
      <c r="K26" s="9">
        <f>IF(C26="","",B26&amp;" / "&amp;C26&amp;" : "&amp;D26)</f>
        <v/>
      </c>
    </row>
    <row r="27">
      <c r="A27" s="10" t="n">
        <v>25</v>
      </c>
      <c r="B27" s="10" t="n"/>
      <c r="C27" s="11" t="n"/>
      <c r="D27" s="11" t="n"/>
      <c r="E27" s="10" t="n"/>
      <c r="F27" s="17" t="n"/>
      <c r="G27" s="10" t="n"/>
      <c r="H27" s="17" t="n"/>
      <c r="I27" s="10" t="n"/>
      <c r="J27" s="11" t="n"/>
      <c r="K27" s="9">
        <f>IF(C27="","",B27&amp;" / "&amp;C27&amp;" : "&amp;D27)</f>
        <v/>
      </c>
    </row>
    <row r="28">
      <c r="A28" s="10" t="n">
        <v>26</v>
      </c>
      <c r="B28" s="10" t="n"/>
      <c r="C28" s="11" t="n"/>
      <c r="D28" s="11" t="n"/>
      <c r="E28" s="10" t="n"/>
      <c r="F28" s="17" t="n"/>
      <c r="G28" s="10" t="n"/>
      <c r="H28" s="17" t="n"/>
      <c r="I28" s="10" t="n"/>
      <c r="J28" s="11" t="n"/>
      <c r="K28" s="9">
        <f>IF(C28="","",B28&amp;" / "&amp;C28&amp;" : "&amp;D28)</f>
        <v/>
      </c>
    </row>
    <row r="29">
      <c r="A29" s="10" t="n">
        <v>27</v>
      </c>
      <c r="B29" s="10" t="n"/>
      <c r="C29" s="11" t="n"/>
      <c r="D29" s="11" t="n"/>
      <c r="E29" s="10" t="n"/>
      <c r="F29" s="17" t="n"/>
      <c r="G29" s="10" t="n"/>
      <c r="H29" s="17" t="n"/>
      <c r="I29" s="10" t="n"/>
      <c r="J29" s="11" t="n"/>
      <c r="K29" s="9">
        <f>IF(C29="","",B29&amp;" / "&amp;C29&amp;" : "&amp;D29)</f>
        <v/>
      </c>
    </row>
    <row r="30">
      <c r="A30" s="10" t="n">
        <v>28</v>
      </c>
      <c r="B30" s="10" t="n"/>
      <c r="C30" s="11" t="n"/>
      <c r="D30" s="11" t="n"/>
      <c r="E30" s="10" t="n"/>
      <c r="F30" s="17" t="n"/>
      <c r="G30" s="10" t="n"/>
      <c r="H30" s="17" t="n"/>
      <c r="I30" s="10" t="n"/>
      <c r="J30" s="11" t="n"/>
      <c r="K30" s="9">
        <f>IF(C30="","",B30&amp;" / "&amp;C30&amp;" : "&amp;D30)</f>
        <v/>
      </c>
    </row>
    <row r="31">
      <c r="A31" s="10" t="n">
        <v>29</v>
      </c>
      <c r="B31" s="10" t="n"/>
      <c r="C31" s="11" t="n"/>
      <c r="D31" s="11" t="n"/>
      <c r="E31" s="10" t="n"/>
      <c r="F31" s="17" t="n"/>
      <c r="G31" s="10" t="n"/>
      <c r="H31" s="17" t="n"/>
      <c r="I31" s="10" t="n"/>
      <c r="J31" s="11" t="n"/>
      <c r="K31" s="9">
        <f>IF(C31="","",B31&amp;" / "&amp;C31&amp;" : "&amp;D31)</f>
        <v/>
      </c>
    </row>
    <row r="32">
      <c r="A32" s="10" t="n">
        <v>30</v>
      </c>
      <c r="B32" s="10" t="n"/>
      <c r="C32" s="11" t="n"/>
      <c r="D32" s="11" t="n"/>
      <c r="E32" s="10" t="n"/>
      <c r="F32" s="17" t="n"/>
      <c r="G32" s="10" t="n"/>
      <c r="H32" s="17" t="n"/>
      <c r="I32" s="10" t="n"/>
      <c r="J32" s="11" t="n"/>
      <c r="K32" s="9">
        <f>IF(C32="","",B32&amp;" / "&amp;C32&amp;" : "&amp;D32)</f>
        <v/>
      </c>
    </row>
    <row r="33">
      <c r="A33" s="10" t="n">
        <v>31</v>
      </c>
      <c r="B33" s="10" t="n"/>
      <c r="C33" s="11" t="n"/>
      <c r="D33" s="11" t="n"/>
      <c r="E33" s="10" t="n"/>
      <c r="F33" s="17" t="n"/>
      <c r="G33" s="10" t="n"/>
      <c r="H33" s="17" t="n"/>
      <c r="I33" s="10" t="n"/>
      <c r="J33" s="11" t="n"/>
      <c r="K33" s="9">
        <f>IF(C33="","",B33&amp;" / "&amp;C33&amp;" : "&amp;D33)</f>
        <v/>
      </c>
    </row>
    <row r="34">
      <c r="A34" s="10" t="n">
        <v>32</v>
      </c>
      <c r="B34" s="10" t="n"/>
      <c r="C34" s="11" t="n"/>
      <c r="D34" s="11" t="n"/>
      <c r="E34" s="10" t="n"/>
      <c r="F34" s="17" t="n"/>
      <c r="G34" s="10" t="n"/>
      <c r="H34" s="17" t="n"/>
      <c r="I34" s="10" t="n"/>
      <c r="J34" s="11" t="n"/>
      <c r="K34" s="9">
        <f>IF(C34="","",B34&amp;" / "&amp;C34&amp;" : "&amp;D34)</f>
        <v/>
      </c>
    </row>
    <row r="35">
      <c r="A35" s="10" t="n">
        <v>33</v>
      </c>
      <c r="B35" s="10" t="n"/>
      <c r="C35" s="11" t="n"/>
      <c r="D35" s="11" t="n"/>
      <c r="E35" s="10" t="n"/>
      <c r="F35" s="17" t="n"/>
      <c r="G35" s="10" t="n"/>
      <c r="H35" s="17" t="n"/>
      <c r="I35" s="10" t="n"/>
      <c r="J35" s="11" t="n"/>
      <c r="K35" s="9">
        <f>IF(C35="","",B35&amp;" / "&amp;C35&amp;" : "&amp;D35)</f>
        <v/>
      </c>
    </row>
    <row r="36">
      <c r="A36" s="10" t="n">
        <v>34</v>
      </c>
      <c r="B36" s="10" t="n"/>
      <c r="C36" s="11" t="n"/>
      <c r="D36" s="11" t="n"/>
      <c r="E36" s="10" t="n"/>
      <c r="F36" s="17" t="n"/>
      <c r="G36" s="10" t="n"/>
      <c r="H36" s="17" t="n"/>
      <c r="I36" s="10" t="n"/>
      <c r="J36" s="11" t="n"/>
      <c r="K36" s="9">
        <f>IF(C36="","",B36&amp;" / "&amp;C36&amp;" : "&amp;D36)</f>
        <v/>
      </c>
    </row>
    <row r="37">
      <c r="A37" s="10" t="n">
        <v>35</v>
      </c>
      <c r="B37" s="10" t="n"/>
      <c r="C37" s="11" t="n"/>
      <c r="D37" s="11" t="n"/>
      <c r="E37" s="10" t="n"/>
      <c r="F37" s="17" t="n"/>
      <c r="G37" s="10" t="n"/>
      <c r="H37" s="17" t="n"/>
      <c r="I37" s="10" t="n"/>
      <c r="J37" s="11" t="n"/>
      <c r="K37" s="9">
        <f>IF(C37="","",B37&amp;" / "&amp;C37&amp;" : "&amp;D37)</f>
        <v/>
      </c>
    </row>
    <row r="38">
      <c r="A38" s="10" t="n">
        <v>36</v>
      </c>
      <c r="B38" s="10" t="n"/>
      <c r="C38" s="11" t="n"/>
      <c r="D38" s="11" t="n"/>
      <c r="E38" s="10" t="n"/>
      <c r="F38" s="17" t="n"/>
      <c r="G38" s="10" t="n"/>
      <c r="H38" s="17" t="n"/>
      <c r="I38" s="10" t="n"/>
      <c r="J38" s="11" t="n"/>
      <c r="K38" s="9">
        <f>IF(C38="","",B38&amp;" / "&amp;C38&amp;" : "&amp;D38)</f>
        <v/>
      </c>
    </row>
    <row r="39">
      <c r="A39" s="10" t="n">
        <v>37</v>
      </c>
      <c r="B39" s="10" t="n"/>
      <c r="C39" s="11" t="n"/>
      <c r="D39" s="11" t="n"/>
      <c r="E39" s="10" t="n"/>
      <c r="F39" s="17" t="n"/>
      <c r="G39" s="10" t="n"/>
      <c r="H39" s="17" t="n"/>
      <c r="I39" s="10" t="n"/>
      <c r="J39" s="11" t="n"/>
      <c r="K39" s="9">
        <f>IF(C39="","",B39&amp;" / "&amp;C39&amp;" : "&amp;D39)</f>
        <v/>
      </c>
    </row>
    <row r="40">
      <c r="A40" s="10" t="n">
        <v>38</v>
      </c>
      <c r="B40" s="10" t="n"/>
      <c r="C40" s="11" t="n"/>
      <c r="D40" s="11" t="n"/>
      <c r="E40" s="10" t="n"/>
      <c r="F40" s="17" t="n"/>
      <c r="G40" s="10" t="n"/>
      <c r="H40" s="17" t="n"/>
      <c r="I40" s="10" t="n"/>
      <c r="J40" s="11" t="n"/>
      <c r="K40" s="9">
        <f>IF(C40="","",B40&amp;" / "&amp;C40&amp;" : "&amp;D40)</f>
        <v/>
      </c>
    </row>
    <row r="41">
      <c r="A41" s="10" t="n">
        <v>39</v>
      </c>
      <c r="B41" s="10" t="n"/>
      <c r="C41" s="11" t="n"/>
      <c r="D41" s="11" t="n"/>
      <c r="E41" s="10" t="n"/>
      <c r="F41" s="17" t="n"/>
      <c r="G41" s="10" t="n"/>
      <c r="H41" s="17" t="n"/>
      <c r="I41" s="10" t="n"/>
      <c r="J41" s="11" t="n"/>
      <c r="K41" s="9">
        <f>IF(C41="","",B41&amp;" / "&amp;C41&amp;" : "&amp;D41)</f>
        <v/>
      </c>
    </row>
    <row r="42">
      <c r="A42" s="10" t="n">
        <v>40</v>
      </c>
      <c r="B42" s="10" t="n"/>
      <c r="C42" s="11" t="n"/>
      <c r="D42" s="11" t="n"/>
      <c r="E42" s="10" t="n"/>
      <c r="F42" s="17" t="n"/>
      <c r="G42" s="10" t="n"/>
      <c r="H42" s="17" t="n"/>
      <c r="I42" s="10" t="n"/>
      <c r="J42" s="11" t="n"/>
      <c r="K42" s="9">
        <f>IF(C42="","",B42&amp;" / "&amp;C42&amp;" : "&amp;D42)</f>
        <v/>
      </c>
    </row>
    <row r="43">
      <c r="A43" s="10" t="n">
        <v>41</v>
      </c>
      <c r="B43" s="10" t="n"/>
      <c r="C43" s="11" t="n"/>
      <c r="D43" s="11" t="n"/>
      <c r="E43" s="10" t="n"/>
      <c r="F43" s="17" t="n"/>
      <c r="G43" s="10" t="n"/>
      <c r="H43" s="17" t="n"/>
      <c r="I43" s="10" t="n"/>
      <c r="J43" s="11" t="n"/>
      <c r="K43" s="9">
        <f>IF(C43="","",B43&amp;" / "&amp;C43&amp;" : "&amp;D43)</f>
        <v/>
      </c>
    </row>
    <row r="44">
      <c r="A44" s="10" t="n">
        <v>42</v>
      </c>
      <c r="B44" s="10" t="n"/>
      <c r="C44" s="11" t="n"/>
      <c r="D44" s="11" t="n"/>
      <c r="E44" s="10" t="n"/>
      <c r="F44" s="17" t="n"/>
      <c r="G44" s="10" t="n"/>
      <c r="H44" s="17" t="n"/>
      <c r="I44" s="10" t="n"/>
      <c r="J44" s="11" t="n"/>
      <c r="K44" s="9">
        <f>IF(C44="","",B44&amp;" / "&amp;C44&amp;" : "&amp;D44)</f>
        <v/>
      </c>
    </row>
    <row r="45">
      <c r="A45" s="10" t="n">
        <v>43</v>
      </c>
      <c r="B45" s="10" t="n"/>
      <c r="C45" s="11" t="n"/>
      <c r="D45" s="11" t="n"/>
      <c r="E45" s="10" t="n"/>
      <c r="F45" s="17" t="n"/>
      <c r="G45" s="10" t="n"/>
      <c r="H45" s="17" t="n"/>
      <c r="I45" s="10" t="n"/>
      <c r="J45" s="11" t="n"/>
      <c r="K45" s="9">
        <f>IF(C45="","",B45&amp;" / "&amp;C45&amp;" : "&amp;D45)</f>
        <v/>
      </c>
    </row>
    <row r="46">
      <c r="A46" s="10" t="n">
        <v>44</v>
      </c>
      <c r="B46" s="10" t="n"/>
      <c r="C46" s="11" t="n"/>
      <c r="D46" s="11" t="n"/>
      <c r="E46" s="10" t="n"/>
      <c r="F46" s="17" t="n"/>
      <c r="G46" s="10" t="n"/>
      <c r="H46" s="17" t="n"/>
      <c r="I46" s="10" t="n"/>
      <c r="J46" s="11" t="n"/>
      <c r="K46" s="9">
        <f>IF(C46="","",B46&amp;" / "&amp;C46&amp;" : "&amp;D46)</f>
        <v/>
      </c>
    </row>
    <row r="47">
      <c r="A47" s="10" t="n">
        <v>45</v>
      </c>
      <c r="B47" s="10" t="n"/>
      <c r="C47" s="11" t="n"/>
      <c r="D47" s="11" t="n"/>
      <c r="E47" s="10" t="n"/>
      <c r="F47" s="17" t="n"/>
      <c r="G47" s="10" t="n"/>
      <c r="H47" s="17" t="n"/>
      <c r="I47" s="10" t="n"/>
      <c r="J47" s="11" t="n"/>
      <c r="K47" s="9">
        <f>IF(C47="","",B47&amp;" / "&amp;C47&amp;" : "&amp;D47)</f>
        <v/>
      </c>
    </row>
    <row r="48">
      <c r="A48" s="10" t="n">
        <v>46</v>
      </c>
      <c r="B48" s="10" t="n"/>
      <c r="C48" s="11" t="n"/>
      <c r="D48" s="11" t="n"/>
      <c r="E48" s="10" t="n"/>
      <c r="F48" s="17" t="n"/>
      <c r="G48" s="10" t="n"/>
      <c r="H48" s="17" t="n"/>
      <c r="I48" s="10" t="n"/>
      <c r="J48" s="11" t="n"/>
      <c r="K48" s="9">
        <f>IF(C48="","",B48&amp;" / "&amp;C48&amp;" : "&amp;D48)</f>
        <v/>
      </c>
    </row>
    <row r="49">
      <c r="A49" s="10" t="n">
        <v>47</v>
      </c>
      <c r="B49" s="10" t="n"/>
      <c r="C49" s="11" t="n"/>
      <c r="D49" s="11" t="n"/>
      <c r="E49" s="10" t="n"/>
      <c r="F49" s="17" t="n"/>
      <c r="G49" s="10" t="n"/>
      <c r="H49" s="17" t="n"/>
      <c r="I49" s="10" t="n"/>
      <c r="J49" s="11" t="n"/>
      <c r="K49" s="9">
        <f>IF(C49="","",B49&amp;" / "&amp;C49&amp;" : "&amp;D49)</f>
        <v/>
      </c>
    </row>
    <row r="50">
      <c r="A50" s="10" t="n">
        <v>48</v>
      </c>
      <c r="B50" s="10" t="n"/>
      <c r="C50" s="11" t="n"/>
      <c r="D50" s="11" t="n"/>
      <c r="E50" s="10" t="n"/>
      <c r="F50" s="17" t="n"/>
      <c r="G50" s="10" t="n"/>
      <c r="H50" s="17" t="n"/>
      <c r="I50" s="10" t="n"/>
      <c r="J50" s="11" t="n"/>
      <c r="K50" s="9">
        <f>IF(C50="","",B50&amp;" / "&amp;C50&amp;" : "&amp;D50)</f>
        <v/>
      </c>
    </row>
    <row r="51">
      <c r="A51" s="10" t="n">
        <v>49</v>
      </c>
      <c r="B51" s="10" t="n"/>
      <c r="C51" s="11" t="n"/>
      <c r="D51" s="11" t="n"/>
      <c r="E51" s="10" t="n"/>
      <c r="F51" s="17" t="n"/>
      <c r="G51" s="10" t="n"/>
      <c r="H51" s="17" t="n"/>
      <c r="I51" s="10" t="n"/>
      <c r="J51" s="11" t="n"/>
      <c r="K51" s="9">
        <f>IF(C51="","",B51&amp;" / "&amp;C51&amp;" : "&amp;D51)</f>
        <v/>
      </c>
    </row>
    <row r="52">
      <c r="A52" s="10" t="n">
        <v>50</v>
      </c>
      <c r="B52" s="10" t="n"/>
      <c r="C52" s="11" t="n"/>
      <c r="D52" s="11" t="n"/>
      <c r="E52" s="10" t="n"/>
      <c r="F52" s="17" t="n"/>
      <c r="G52" s="10" t="n"/>
      <c r="H52" s="17" t="n"/>
      <c r="I52" s="10" t="n"/>
      <c r="J52" s="11" t="n"/>
      <c r="K52" s="9">
        <f>IF(C52="","",B52&amp;" / "&amp;C52&amp;" : "&amp;D52)</f>
        <v/>
      </c>
    </row>
    <row r="53">
      <c r="A53" s="10" t="n">
        <v>51</v>
      </c>
      <c r="B53" s="10" t="n"/>
      <c r="C53" s="11" t="n"/>
      <c r="D53" s="11" t="n"/>
      <c r="E53" s="10" t="n"/>
      <c r="F53" s="17" t="n"/>
      <c r="G53" s="10" t="n"/>
      <c r="H53" s="17" t="n"/>
      <c r="I53" s="10" t="n"/>
      <c r="J53" s="11" t="n"/>
      <c r="K53" s="9">
        <f>IF(C53="","",B53&amp;" / "&amp;C53&amp;" : "&amp;D53)</f>
        <v/>
      </c>
    </row>
    <row r="54">
      <c r="A54" s="10" t="n">
        <v>52</v>
      </c>
      <c r="B54" s="10" t="n"/>
      <c r="C54" s="11" t="n"/>
      <c r="D54" s="11" t="n"/>
      <c r="E54" s="10" t="n"/>
      <c r="F54" s="17" t="n"/>
      <c r="G54" s="10" t="n"/>
      <c r="H54" s="17" t="n"/>
      <c r="I54" s="10" t="n"/>
      <c r="J54" s="11" t="n"/>
      <c r="K54" s="9">
        <f>IF(C54="","",B54&amp;" / "&amp;C54&amp;" : "&amp;D54)</f>
        <v/>
      </c>
    </row>
    <row r="55">
      <c r="A55" s="10" t="n">
        <v>53</v>
      </c>
      <c r="B55" s="10" t="n"/>
      <c r="C55" s="11" t="n"/>
      <c r="D55" s="11" t="n"/>
      <c r="E55" s="10" t="n"/>
      <c r="F55" s="17" t="n"/>
      <c r="G55" s="10" t="n"/>
      <c r="H55" s="17" t="n"/>
      <c r="I55" s="10" t="n"/>
      <c r="J55" s="11" t="n"/>
      <c r="K55" s="9">
        <f>IF(C55="","",B55&amp;" / "&amp;C55&amp;" : "&amp;D55)</f>
        <v/>
      </c>
    </row>
    <row r="56">
      <c r="A56" s="10" t="n">
        <v>54</v>
      </c>
      <c r="B56" s="10" t="n"/>
      <c r="C56" s="11" t="n"/>
      <c r="D56" s="11" t="n"/>
      <c r="E56" s="10" t="n"/>
      <c r="F56" s="17" t="n"/>
      <c r="G56" s="10" t="n"/>
      <c r="H56" s="17" t="n"/>
      <c r="I56" s="10" t="n"/>
      <c r="J56" s="11" t="n"/>
      <c r="K56" s="9">
        <f>IF(C56="","",B56&amp;" / "&amp;C56&amp;" : "&amp;D56)</f>
        <v/>
      </c>
    </row>
    <row r="57">
      <c r="A57" s="10" t="n">
        <v>55</v>
      </c>
      <c r="B57" s="10" t="n"/>
      <c r="C57" s="11" t="n"/>
      <c r="D57" s="11" t="n"/>
      <c r="E57" s="10" t="n"/>
      <c r="F57" s="17" t="n"/>
      <c r="G57" s="10" t="n"/>
      <c r="H57" s="17" t="n"/>
      <c r="I57" s="10" t="n"/>
      <c r="J57" s="11" t="n"/>
      <c r="K57" s="9">
        <f>IF(C57="","",B57&amp;" / "&amp;C57&amp;" : "&amp;D57)</f>
        <v/>
      </c>
    </row>
    <row r="58">
      <c r="A58" s="10" t="n">
        <v>56</v>
      </c>
      <c r="B58" s="10" t="n"/>
      <c r="C58" s="11" t="n"/>
      <c r="D58" s="11" t="n"/>
      <c r="E58" s="10" t="n"/>
      <c r="F58" s="17" t="n"/>
      <c r="G58" s="10" t="n"/>
      <c r="H58" s="17" t="n"/>
      <c r="I58" s="10" t="n"/>
      <c r="J58" s="11" t="n"/>
      <c r="K58" s="9">
        <f>IF(C58="","",B58&amp;" / "&amp;C58&amp;" : "&amp;D58)</f>
        <v/>
      </c>
    </row>
    <row r="59">
      <c r="A59" s="10" t="n">
        <v>57</v>
      </c>
      <c r="B59" s="10" t="n"/>
      <c r="C59" s="11" t="n"/>
      <c r="D59" s="11" t="n"/>
      <c r="E59" s="10" t="n"/>
      <c r="F59" s="17" t="n"/>
      <c r="G59" s="10" t="n"/>
      <c r="H59" s="17" t="n"/>
      <c r="I59" s="10" t="n"/>
      <c r="J59" s="11" t="n"/>
      <c r="K59" s="9">
        <f>IF(C59="","",B59&amp;" / "&amp;C59&amp;" : "&amp;D59)</f>
        <v/>
      </c>
    </row>
    <row r="60">
      <c r="A60" s="10" t="n">
        <v>58</v>
      </c>
      <c r="B60" s="10" t="n"/>
      <c r="C60" s="11" t="n"/>
      <c r="D60" s="11" t="n"/>
      <c r="E60" s="10" t="n"/>
      <c r="F60" s="17" t="n"/>
      <c r="G60" s="10" t="n"/>
      <c r="H60" s="17" t="n"/>
      <c r="I60" s="10" t="n"/>
      <c r="J60" s="11" t="n"/>
      <c r="K60" s="9">
        <f>IF(C60="","",B60&amp;" / "&amp;C60&amp;" : "&amp;D60)</f>
        <v/>
      </c>
    </row>
    <row r="61">
      <c r="A61" s="10" t="n">
        <v>59</v>
      </c>
      <c r="B61" s="10" t="n"/>
      <c r="C61" s="11" t="n"/>
      <c r="D61" s="11" t="n"/>
      <c r="E61" s="10" t="n"/>
      <c r="F61" s="17" t="n"/>
      <c r="G61" s="10" t="n"/>
      <c r="H61" s="17" t="n"/>
      <c r="I61" s="10" t="n"/>
      <c r="J61" s="11" t="n"/>
      <c r="K61" s="9">
        <f>IF(C61="","",B61&amp;" / "&amp;C61&amp;" : "&amp;D61)</f>
        <v/>
      </c>
    </row>
    <row r="62">
      <c r="A62" s="10" t="n">
        <v>60</v>
      </c>
      <c r="B62" s="10" t="n"/>
      <c r="C62" s="11" t="n"/>
      <c r="D62" s="11" t="n"/>
      <c r="E62" s="10" t="n"/>
      <c r="F62" s="17" t="n"/>
      <c r="G62" s="10" t="n"/>
      <c r="H62" s="17" t="n"/>
      <c r="I62" s="10" t="n"/>
      <c r="J62" s="11" t="n"/>
      <c r="K62" s="9">
        <f>IF(C62="","",B62&amp;" / "&amp;C62&amp;" : "&amp;D62)</f>
        <v/>
      </c>
    </row>
    <row r="63">
      <c r="A63" s="10" t="n">
        <v>61</v>
      </c>
      <c r="B63" s="10" t="n"/>
      <c r="C63" s="11" t="n"/>
      <c r="D63" s="11" t="n"/>
      <c r="E63" s="10" t="n"/>
      <c r="F63" s="17" t="n"/>
      <c r="G63" s="10" t="n"/>
      <c r="H63" s="17" t="n"/>
      <c r="I63" s="10" t="n"/>
      <c r="J63" s="11" t="n"/>
      <c r="K63" s="9">
        <f>IF(C63="","",B63&amp;" / "&amp;C63&amp;" : "&amp;D63)</f>
        <v/>
      </c>
    </row>
    <row r="64">
      <c r="A64" s="10" t="n">
        <v>62</v>
      </c>
      <c r="B64" s="10" t="n"/>
      <c r="C64" s="11" t="n"/>
      <c r="D64" s="11" t="n"/>
      <c r="E64" s="10" t="n"/>
      <c r="F64" s="17" t="n"/>
      <c r="G64" s="10" t="n"/>
      <c r="H64" s="17" t="n"/>
      <c r="I64" s="10" t="n"/>
      <c r="J64" s="11" t="n"/>
      <c r="K64" s="9">
        <f>IF(C64="","",B64&amp;" / "&amp;C64&amp;" : "&amp;D64)</f>
        <v/>
      </c>
    </row>
    <row r="65">
      <c r="A65" s="10" t="n">
        <v>63</v>
      </c>
      <c r="B65" s="10" t="n"/>
      <c r="C65" s="11" t="n"/>
      <c r="D65" s="11" t="n"/>
      <c r="E65" s="10" t="n"/>
      <c r="F65" s="17" t="n"/>
      <c r="G65" s="10" t="n"/>
      <c r="H65" s="17" t="n"/>
      <c r="I65" s="10" t="n"/>
      <c r="J65" s="11" t="n"/>
      <c r="K65" s="9">
        <f>IF(C65="","",B65&amp;" / "&amp;C65&amp;" : "&amp;D65)</f>
        <v/>
      </c>
    </row>
    <row r="66">
      <c r="A66" s="10" t="n">
        <v>64</v>
      </c>
      <c r="B66" s="10" t="n"/>
      <c r="C66" s="11" t="n"/>
      <c r="D66" s="11" t="n"/>
      <c r="E66" s="10" t="n"/>
      <c r="F66" s="17" t="n"/>
      <c r="G66" s="10" t="n"/>
      <c r="H66" s="17" t="n"/>
      <c r="I66" s="10" t="n"/>
      <c r="J66" s="11" t="n"/>
      <c r="K66" s="9">
        <f>IF(C66="","",B66&amp;" / "&amp;C66&amp;" : "&amp;D66)</f>
        <v/>
      </c>
    </row>
    <row r="67">
      <c r="A67" s="10" t="n">
        <v>65</v>
      </c>
      <c r="B67" s="10" t="n"/>
      <c r="C67" s="11" t="n"/>
      <c r="D67" s="11" t="n"/>
      <c r="E67" s="10" t="n"/>
      <c r="F67" s="17" t="n"/>
      <c r="G67" s="10" t="n"/>
      <c r="H67" s="17" t="n"/>
      <c r="I67" s="10" t="n"/>
      <c r="J67" s="11" t="n"/>
      <c r="K67" s="9">
        <f>IF(C67="","",B67&amp;" / "&amp;C67&amp;" : "&amp;D67)</f>
        <v/>
      </c>
    </row>
    <row r="68">
      <c r="A68" s="10" t="n">
        <v>66</v>
      </c>
      <c r="B68" s="10" t="n"/>
      <c r="C68" s="11" t="n"/>
      <c r="D68" s="11" t="n"/>
      <c r="E68" s="10" t="n"/>
      <c r="F68" s="17" t="n"/>
      <c r="G68" s="10" t="n"/>
      <c r="H68" s="17" t="n"/>
      <c r="I68" s="10" t="n"/>
      <c r="J68" s="11" t="n"/>
      <c r="K68" s="9">
        <f>IF(C68="","",B68&amp;" / "&amp;C68&amp;" : "&amp;D68)</f>
        <v/>
      </c>
    </row>
    <row r="69">
      <c r="A69" s="10" t="n">
        <v>67</v>
      </c>
      <c r="B69" s="10" t="n"/>
      <c r="C69" s="11" t="n"/>
      <c r="D69" s="11" t="n"/>
      <c r="E69" s="10" t="n"/>
      <c r="F69" s="17" t="n"/>
      <c r="G69" s="10" t="n"/>
      <c r="H69" s="17" t="n"/>
      <c r="I69" s="10" t="n"/>
      <c r="J69" s="11" t="n"/>
      <c r="K69" s="9">
        <f>IF(C69="","",B69&amp;" / "&amp;C69&amp;" : "&amp;D69)</f>
        <v/>
      </c>
    </row>
    <row r="70">
      <c r="A70" s="10" t="n">
        <v>68</v>
      </c>
      <c r="B70" s="10" t="n"/>
      <c r="C70" s="11" t="n"/>
      <c r="D70" s="11" t="n"/>
      <c r="E70" s="10" t="n"/>
      <c r="F70" s="17" t="n"/>
      <c r="G70" s="10" t="n"/>
      <c r="H70" s="17" t="n"/>
      <c r="I70" s="10" t="n"/>
      <c r="J70" s="11" t="n"/>
      <c r="K70" s="9">
        <f>IF(C70="","",B70&amp;" / "&amp;C70&amp;" : "&amp;D70)</f>
        <v/>
      </c>
    </row>
    <row r="71">
      <c r="A71" s="10" t="n">
        <v>69</v>
      </c>
      <c r="B71" s="10" t="n"/>
      <c r="C71" s="11" t="n"/>
      <c r="D71" s="11" t="n"/>
      <c r="E71" s="10" t="n"/>
      <c r="F71" s="17" t="n"/>
      <c r="G71" s="10" t="n"/>
      <c r="H71" s="17" t="n"/>
      <c r="I71" s="10" t="n"/>
      <c r="J71" s="11" t="n"/>
      <c r="K71" s="9">
        <f>IF(C71="","",B71&amp;" / "&amp;C71&amp;" : "&amp;D71)</f>
        <v/>
      </c>
    </row>
    <row r="72">
      <c r="A72" s="10" t="n">
        <v>70</v>
      </c>
      <c r="B72" s="10" t="n"/>
      <c r="C72" s="11" t="n"/>
      <c r="D72" s="11" t="n"/>
      <c r="E72" s="10" t="n"/>
      <c r="F72" s="17" t="n"/>
      <c r="G72" s="10" t="n"/>
      <c r="H72" s="17" t="n"/>
      <c r="I72" s="10" t="n"/>
      <c r="J72" s="11" t="n"/>
      <c r="K72" s="9">
        <f>IF(C72="","",B72&amp;" / "&amp;C72&amp;" : "&amp;D72)</f>
        <v/>
      </c>
    </row>
    <row r="73">
      <c r="A73" s="10" t="n">
        <v>71</v>
      </c>
      <c r="B73" s="10" t="n"/>
      <c r="C73" s="11" t="n"/>
      <c r="D73" s="11" t="n"/>
      <c r="E73" s="10" t="n"/>
      <c r="F73" s="17" t="n"/>
      <c r="G73" s="10" t="n"/>
      <c r="H73" s="17" t="n"/>
      <c r="I73" s="10" t="n"/>
      <c r="J73" s="11" t="n"/>
      <c r="K73" s="9">
        <f>IF(C73="","",B73&amp;" / "&amp;C73&amp;" : "&amp;D73)</f>
        <v/>
      </c>
    </row>
    <row r="74">
      <c r="A74" s="10" t="n">
        <v>72</v>
      </c>
      <c r="B74" s="10" t="n"/>
      <c r="C74" s="11" t="n"/>
      <c r="D74" s="11" t="n"/>
      <c r="E74" s="10" t="n"/>
      <c r="F74" s="17" t="n"/>
      <c r="G74" s="10" t="n"/>
      <c r="H74" s="17" t="n"/>
      <c r="I74" s="10" t="n"/>
      <c r="J74" s="11" t="n"/>
      <c r="K74" s="9">
        <f>IF(C74="","",B74&amp;" / "&amp;C74&amp;" : "&amp;D74)</f>
        <v/>
      </c>
    </row>
    <row r="75">
      <c r="A75" s="10" t="n">
        <v>73</v>
      </c>
      <c r="B75" s="10" t="n"/>
      <c r="C75" s="11" t="n"/>
      <c r="D75" s="11" t="n"/>
      <c r="E75" s="10" t="n"/>
      <c r="F75" s="17" t="n"/>
      <c r="G75" s="10" t="n"/>
      <c r="H75" s="17" t="n"/>
      <c r="I75" s="10" t="n"/>
      <c r="J75" s="11" t="n"/>
      <c r="K75" s="9">
        <f>IF(C75="","",B75&amp;" / "&amp;C75&amp;" : "&amp;D75)</f>
        <v/>
      </c>
    </row>
    <row r="76">
      <c r="A76" s="10" t="n">
        <v>74</v>
      </c>
      <c r="B76" s="10" t="n"/>
      <c r="C76" s="11" t="n"/>
      <c r="D76" s="11" t="n"/>
      <c r="E76" s="10" t="n"/>
      <c r="F76" s="17" t="n"/>
      <c r="G76" s="10" t="n"/>
      <c r="H76" s="17" t="n"/>
      <c r="I76" s="10" t="n"/>
      <c r="J76" s="11" t="n"/>
      <c r="K76" s="9">
        <f>IF(C76="","",B76&amp;" / "&amp;C76&amp;" : "&amp;D76)</f>
        <v/>
      </c>
    </row>
    <row r="77">
      <c r="A77" s="10" t="n">
        <v>75</v>
      </c>
      <c r="B77" s="10" t="n"/>
      <c r="C77" s="11" t="n"/>
      <c r="D77" s="11" t="n"/>
      <c r="E77" s="10" t="n"/>
      <c r="F77" s="17" t="n"/>
      <c r="G77" s="10" t="n"/>
      <c r="H77" s="17" t="n"/>
      <c r="I77" s="10" t="n"/>
      <c r="J77" s="11" t="n"/>
      <c r="K77" s="9">
        <f>IF(C77="","",B77&amp;" / "&amp;C77&amp;" : "&amp;D77)</f>
        <v/>
      </c>
    </row>
    <row r="78">
      <c r="A78" s="10" t="n">
        <v>76</v>
      </c>
      <c r="B78" s="10" t="n"/>
      <c r="C78" s="11" t="n"/>
      <c r="D78" s="11" t="n"/>
      <c r="E78" s="10" t="n"/>
      <c r="F78" s="17" t="n"/>
      <c r="G78" s="10" t="n"/>
      <c r="H78" s="17" t="n"/>
      <c r="I78" s="10" t="n"/>
      <c r="J78" s="11" t="n"/>
      <c r="K78" s="9">
        <f>IF(C78="","",B78&amp;" / "&amp;C78&amp;" : "&amp;D78)</f>
        <v/>
      </c>
    </row>
    <row r="79">
      <c r="A79" s="10" t="n">
        <v>77</v>
      </c>
      <c r="B79" s="10" t="n"/>
      <c r="C79" s="11" t="n"/>
      <c r="D79" s="11" t="n"/>
      <c r="E79" s="10" t="n"/>
      <c r="F79" s="17" t="n"/>
      <c r="G79" s="10" t="n"/>
      <c r="H79" s="17" t="n"/>
      <c r="I79" s="10" t="n"/>
      <c r="J79" s="11" t="n"/>
      <c r="K79" s="9">
        <f>IF(C79="","",B79&amp;" / "&amp;C79&amp;" : "&amp;D79)</f>
        <v/>
      </c>
    </row>
    <row r="80">
      <c r="A80" s="10" t="n">
        <v>78</v>
      </c>
      <c r="B80" s="10" t="n"/>
      <c r="C80" s="11" t="n"/>
      <c r="D80" s="11" t="n"/>
      <c r="E80" s="10" t="n"/>
      <c r="F80" s="17" t="n"/>
      <c r="G80" s="10" t="n"/>
      <c r="H80" s="17" t="n"/>
      <c r="I80" s="10" t="n"/>
      <c r="J80" s="11" t="n"/>
      <c r="K80" s="9">
        <f>IF(C80="","",B80&amp;" / "&amp;C80&amp;" : "&amp;D80)</f>
        <v/>
      </c>
    </row>
    <row r="81">
      <c r="A81" s="10" t="n">
        <v>79</v>
      </c>
      <c r="B81" s="10" t="n"/>
      <c r="C81" s="11" t="n"/>
      <c r="D81" s="11" t="n"/>
      <c r="E81" s="10" t="n"/>
      <c r="F81" s="17" t="n"/>
      <c r="G81" s="10" t="n"/>
      <c r="H81" s="17" t="n"/>
      <c r="I81" s="10" t="n"/>
      <c r="J81" s="11" t="n"/>
      <c r="K81" s="9">
        <f>IF(C81="","",B81&amp;" / "&amp;C81&amp;" : "&amp;D81)</f>
        <v/>
      </c>
    </row>
    <row r="82">
      <c r="A82" s="10" t="n">
        <v>80</v>
      </c>
      <c r="B82" s="10" t="n"/>
      <c r="C82" s="11" t="n"/>
      <c r="D82" s="11" t="n"/>
      <c r="E82" s="10" t="n"/>
      <c r="F82" s="17" t="n"/>
      <c r="G82" s="10" t="n"/>
      <c r="H82" s="17" t="n"/>
      <c r="I82" s="10" t="n"/>
      <c r="J82" s="11" t="n"/>
      <c r="K82" s="9">
        <f>IF(C82="","",B82&amp;" / "&amp;C82&amp;" : "&amp;D82)</f>
        <v/>
      </c>
    </row>
    <row r="83">
      <c r="A83" s="10" t="n">
        <v>81</v>
      </c>
      <c r="B83" s="10" t="n"/>
      <c r="C83" s="11" t="n"/>
      <c r="D83" s="11" t="n"/>
      <c r="E83" s="10" t="n"/>
      <c r="F83" s="17" t="n"/>
      <c r="G83" s="10" t="n"/>
      <c r="H83" s="17" t="n"/>
      <c r="I83" s="10" t="n"/>
      <c r="J83" s="11" t="n"/>
      <c r="K83" s="9">
        <f>IF(C83="","",B83&amp;" / "&amp;C83&amp;" : "&amp;D83)</f>
        <v/>
      </c>
    </row>
    <row r="84">
      <c r="A84" s="10" t="n">
        <v>82</v>
      </c>
      <c r="B84" s="10" t="n"/>
      <c r="C84" s="11" t="n"/>
      <c r="D84" s="11" t="n"/>
      <c r="E84" s="10" t="n"/>
      <c r="F84" s="17" t="n"/>
      <c r="G84" s="10" t="n"/>
      <c r="H84" s="17" t="n"/>
      <c r="I84" s="10" t="n"/>
      <c r="J84" s="11" t="n"/>
      <c r="K84" s="9">
        <f>IF(C84="","",B84&amp;" / "&amp;C84&amp;" : "&amp;D84)</f>
        <v/>
      </c>
    </row>
    <row r="85">
      <c r="A85" s="10" t="n">
        <v>83</v>
      </c>
      <c r="B85" s="10" t="n"/>
      <c r="C85" s="11" t="n"/>
      <c r="D85" s="11" t="n"/>
      <c r="E85" s="10" t="n"/>
      <c r="F85" s="17" t="n"/>
      <c r="G85" s="10" t="n"/>
      <c r="H85" s="17" t="n"/>
      <c r="I85" s="10" t="n"/>
      <c r="J85" s="11" t="n"/>
      <c r="K85" s="9">
        <f>IF(C85="","",B85&amp;" / "&amp;C85&amp;" : "&amp;D85)</f>
        <v/>
      </c>
    </row>
    <row r="86">
      <c r="A86" s="10" t="n">
        <v>84</v>
      </c>
      <c r="B86" s="10" t="n"/>
      <c r="C86" s="11" t="n"/>
      <c r="D86" s="11" t="n"/>
      <c r="E86" s="10" t="n"/>
      <c r="F86" s="17" t="n"/>
      <c r="G86" s="10" t="n"/>
      <c r="H86" s="17" t="n"/>
      <c r="I86" s="10" t="n"/>
      <c r="J86" s="11" t="n"/>
      <c r="K86" s="9">
        <f>IF(C86="","",B86&amp;" / "&amp;C86&amp;" : "&amp;D86)</f>
        <v/>
      </c>
    </row>
    <row r="87">
      <c r="A87" s="10" t="n">
        <v>85</v>
      </c>
      <c r="B87" s="10" t="n"/>
      <c r="C87" s="11" t="n"/>
      <c r="D87" s="11" t="n"/>
      <c r="E87" s="10" t="n"/>
      <c r="F87" s="17" t="n"/>
      <c r="G87" s="10" t="n"/>
      <c r="H87" s="17" t="n"/>
      <c r="I87" s="10" t="n"/>
      <c r="J87" s="11" t="n"/>
      <c r="K87" s="9">
        <f>IF(C87="","",B87&amp;" / "&amp;C87&amp;" : "&amp;D87)</f>
        <v/>
      </c>
    </row>
    <row r="88">
      <c r="A88" s="10" t="n">
        <v>86</v>
      </c>
      <c r="B88" s="10" t="n"/>
      <c r="C88" s="11" t="n"/>
      <c r="D88" s="11" t="n"/>
      <c r="E88" s="10" t="n"/>
      <c r="F88" s="17" t="n"/>
      <c r="G88" s="10" t="n"/>
      <c r="H88" s="17" t="n"/>
      <c r="I88" s="10" t="n"/>
      <c r="J88" s="11" t="n"/>
      <c r="K88" s="9">
        <f>IF(C88="","",B88&amp;" / "&amp;C88&amp;" : "&amp;D88)</f>
        <v/>
      </c>
    </row>
    <row r="89">
      <c r="A89" s="10" t="n">
        <v>87</v>
      </c>
      <c r="B89" s="10" t="n"/>
      <c r="C89" s="11" t="n"/>
      <c r="D89" s="11" t="n"/>
      <c r="E89" s="10" t="n"/>
      <c r="F89" s="17" t="n"/>
      <c r="G89" s="10" t="n"/>
      <c r="H89" s="17" t="n"/>
      <c r="I89" s="10" t="n"/>
      <c r="J89" s="11" t="n"/>
      <c r="K89" s="9">
        <f>IF(C89="","",B89&amp;" / "&amp;C89&amp;" : "&amp;D89)</f>
        <v/>
      </c>
    </row>
    <row r="90">
      <c r="A90" s="10" t="n">
        <v>88</v>
      </c>
      <c r="B90" s="10" t="n"/>
      <c r="C90" s="11" t="n"/>
      <c r="D90" s="11" t="n"/>
      <c r="E90" s="10" t="n"/>
      <c r="F90" s="17" t="n"/>
      <c r="G90" s="10" t="n"/>
      <c r="H90" s="17" t="n"/>
      <c r="I90" s="10" t="n"/>
      <c r="J90" s="11" t="n"/>
      <c r="K90" s="9">
        <f>IF(C90="","",B90&amp;" / "&amp;C90&amp;" : "&amp;D90)</f>
        <v/>
      </c>
    </row>
    <row r="91">
      <c r="A91" s="10" t="n">
        <v>89</v>
      </c>
      <c r="B91" s="10" t="n"/>
      <c r="C91" s="11" t="n"/>
      <c r="D91" s="11" t="n"/>
      <c r="E91" s="10" t="n"/>
      <c r="F91" s="17" t="n"/>
      <c r="G91" s="10" t="n"/>
      <c r="H91" s="17" t="n"/>
      <c r="I91" s="10" t="n"/>
      <c r="J91" s="11" t="n"/>
      <c r="K91" s="9">
        <f>IF(C91="","",B91&amp;" / "&amp;C91&amp;" : "&amp;D91)</f>
        <v/>
      </c>
    </row>
    <row r="92">
      <c r="A92" s="10" t="n">
        <v>90</v>
      </c>
      <c r="B92" s="10" t="n"/>
      <c r="C92" s="11" t="n"/>
      <c r="D92" s="11" t="n"/>
      <c r="E92" s="10" t="n"/>
      <c r="F92" s="17" t="n"/>
      <c r="G92" s="10" t="n"/>
      <c r="H92" s="17" t="n"/>
      <c r="I92" s="10" t="n"/>
      <c r="J92" s="11" t="n"/>
      <c r="K92" s="9">
        <f>IF(C92="","",B92&amp;" / "&amp;C92&amp;" : "&amp;D92)</f>
        <v/>
      </c>
    </row>
    <row r="93">
      <c r="A93" s="10" t="n">
        <v>91</v>
      </c>
      <c r="B93" s="10" t="n"/>
      <c r="C93" s="11" t="n"/>
      <c r="D93" s="11" t="n"/>
      <c r="E93" s="10" t="n"/>
      <c r="F93" s="17" t="n"/>
      <c r="G93" s="10" t="n"/>
      <c r="H93" s="17" t="n"/>
      <c r="I93" s="10" t="n"/>
      <c r="J93" s="11" t="n"/>
      <c r="K93" s="9">
        <f>IF(C93="","",B93&amp;" / "&amp;C93&amp;" : "&amp;D93)</f>
        <v/>
      </c>
    </row>
    <row r="94">
      <c r="A94" s="10" t="n">
        <v>92</v>
      </c>
      <c r="B94" s="10" t="n"/>
      <c r="C94" s="11" t="n"/>
      <c r="D94" s="11" t="n"/>
      <c r="E94" s="10" t="n"/>
      <c r="F94" s="17" t="n"/>
      <c r="G94" s="10" t="n"/>
      <c r="H94" s="17" t="n"/>
      <c r="I94" s="10" t="n"/>
      <c r="J94" s="11" t="n"/>
      <c r="K94" s="9">
        <f>IF(C94="","",B94&amp;" / "&amp;C94&amp;" : "&amp;D94)</f>
        <v/>
      </c>
    </row>
    <row r="95">
      <c r="A95" s="10" t="n">
        <v>93</v>
      </c>
      <c r="B95" s="10" t="n"/>
      <c r="C95" s="11" t="n"/>
      <c r="D95" s="11" t="n"/>
      <c r="E95" s="10" t="n"/>
      <c r="F95" s="17" t="n"/>
      <c r="G95" s="10" t="n"/>
      <c r="H95" s="17" t="n"/>
      <c r="I95" s="10" t="n"/>
      <c r="J95" s="11" t="n"/>
      <c r="K95" s="9">
        <f>IF(C95="","",B95&amp;" / "&amp;C95&amp;" : "&amp;D95)</f>
        <v/>
      </c>
    </row>
    <row r="96">
      <c r="A96" s="10" t="n">
        <v>94</v>
      </c>
      <c r="B96" s="10" t="n"/>
      <c r="C96" s="11" t="n"/>
      <c r="D96" s="11" t="n"/>
      <c r="E96" s="10" t="n"/>
      <c r="F96" s="17" t="n"/>
      <c r="G96" s="10" t="n"/>
      <c r="H96" s="17" t="n"/>
      <c r="I96" s="10" t="n"/>
      <c r="J96" s="11" t="n"/>
      <c r="K96" s="9">
        <f>IF(C96="","",B96&amp;" / "&amp;C96&amp;" : "&amp;D96)</f>
        <v/>
      </c>
    </row>
    <row r="97">
      <c r="A97" s="10" t="n">
        <v>95</v>
      </c>
      <c r="B97" s="10" t="n"/>
      <c r="C97" s="11" t="n"/>
      <c r="D97" s="11" t="n"/>
      <c r="E97" s="10" t="n"/>
      <c r="F97" s="17" t="n"/>
      <c r="G97" s="10" t="n"/>
      <c r="H97" s="17" t="n"/>
      <c r="I97" s="10" t="n"/>
      <c r="J97" s="11" t="n"/>
      <c r="K97" s="9">
        <f>IF(C97="","",B97&amp;" / "&amp;C97&amp;" : "&amp;D97)</f>
        <v/>
      </c>
    </row>
    <row r="98">
      <c r="A98" s="10" t="n">
        <v>96</v>
      </c>
      <c r="B98" s="10" t="n"/>
      <c r="C98" s="11" t="n"/>
      <c r="D98" s="11" t="n"/>
      <c r="E98" s="10" t="n"/>
      <c r="F98" s="17" t="n"/>
      <c r="G98" s="10" t="n"/>
      <c r="H98" s="17" t="n"/>
      <c r="I98" s="10" t="n"/>
      <c r="J98" s="11" t="n"/>
      <c r="K98" s="9">
        <f>IF(C98="","",B98&amp;" / "&amp;C98&amp;" : "&amp;D98)</f>
        <v/>
      </c>
    </row>
    <row r="99">
      <c r="A99" s="10" t="n">
        <v>97</v>
      </c>
      <c r="B99" s="10" t="n"/>
      <c r="C99" s="11" t="n"/>
      <c r="D99" s="11" t="n"/>
      <c r="E99" s="10" t="n"/>
      <c r="F99" s="17" t="n"/>
      <c r="G99" s="10" t="n"/>
      <c r="H99" s="17" t="n"/>
      <c r="I99" s="10" t="n"/>
      <c r="J99" s="11" t="n"/>
      <c r="K99" s="9">
        <f>IF(C99="","",B99&amp;" / "&amp;C99&amp;" : "&amp;D99)</f>
        <v/>
      </c>
    </row>
    <row r="100">
      <c r="A100" s="10" t="n">
        <v>98</v>
      </c>
      <c r="B100" s="10" t="n"/>
      <c r="C100" s="11" t="n"/>
      <c r="D100" s="11" t="n"/>
      <c r="E100" s="10" t="n"/>
      <c r="F100" s="17" t="n"/>
      <c r="G100" s="10" t="n"/>
      <c r="H100" s="17" t="n"/>
      <c r="I100" s="10" t="n"/>
      <c r="J100" s="11" t="n"/>
      <c r="K100" s="9">
        <f>IF(C100="","",B100&amp;" / "&amp;C100&amp;" : "&amp;D100)</f>
        <v/>
      </c>
    </row>
    <row r="101">
      <c r="A101" s="10" t="n">
        <v>99</v>
      </c>
      <c r="B101" s="10" t="n"/>
      <c r="C101" s="11" t="n"/>
      <c r="D101" s="11" t="n"/>
      <c r="E101" s="10" t="n"/>
      <c r="F101" s="17" t="n"/>
      <c r="G101" s="10" t="n"/>
      <c r="H101" s="17" t="n"/>
      <c r="I101" s="10" t="n"/>
      <c r="J101" s="11" t="n"/>
      <c r="K101" s="9">
        <f>IF(C101="","",B101&amp;" / "&amp;C101&amp;" : "&amp;D101)</f>
        <v/>
      </c>
    </row>
  </sheetData>
  <autoFilter ref="A1:K101"/>
  <conditionalFormatting sqref="I3:I101">
    <cfRule type="cellIs" priority="1" operator="equal" dxfId="1">
      <formula>"완료"</formula>
    </cfRule>
    <cfRule type="cellIs" priority="2" operator="equal" dxfId="0">
      <formula>"재요청"</formula>
    </cfRule>
  </conditionalFormatting>
  <dataValidations count="5">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showDropDown="0" showInputMessage="0" showErrorMessage="0" allowBlank="1" type="list">
      <formula1>='_목록'!$A$1:$A$7</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type="list">
      <formula1>"○,×"</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showDropDown="0" showInputMessage="0" showErrorMessage="0" allowBlank="1" type="list">
      <formula1>"더샵 앱/웹,서면,현장"</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showDropDown="0" showInputMessage="0" showErrorMessage="0" allowBlank="1" type="list">
      <formula1>"완료,미완료,재요청"</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showDropDown="0" showInputMessage="0" showErrorMessage="0" allowBlank="1" type="date" operator="greaterThan">
      <formula1>DATE(2020,1,1)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8" customWidth="1" min="1" max="1"/>
    <col width="9" customWidth="1" min="2" max="2"/>
    <col width="10" customWidth="1" min="3" max="3"/>
    <col width="9" customWidth="1" min="4" max="4"/>
    <col width="11" customWidth="1" min="5" max="5"/>
    <col width="9" customWidth="1" min="6" max="6"/>
    <col width="10" customWidth="1" min="7" max="7"/>
    <col width="11" customWidth="1" min="8" max="8"/>
    <col width="10" customWidth="1" min="9" max="9"/>
  </cols>
  <sheetData>
    <row r="1" ht="24" customHeight="1">
      <c r="A1" s="8" t="inlineStr">
        <is>
          <t>공간</t>
        </is>
      </c>
      <c r="B1" s="8" t="inlineStr">
        <is>
          <t>항목 수</t>
        </is>
      </c>
      <c r="C1" s="8" t="inlineStr">
        <is>
          <t>점검 완료</t>
        </is>
      </c>
      <c r="D1" s="8" t="inlineStr">
        <is>
          <t>진행률</t>
        </is>
      </c>
      <c r="E1" s="8" t="inlineStr">
        <is>
          <t>○ 이상없음</t>
        </is>
      </c>
      <c r="F1" s="8" t="inlineStr">
        <is>
          <t>✖ 하자</t>
        </is>
      </c>
      <c r="G1" s="8" t="inlineStr">
        <is>
          <t>△ 재확인</t>
        </is>
      </c>
      <c r="H1" s="8" t="inlineStr">
        <is>
          <t>하자기록 수</t>
        </is>
      </c>
      <c r="I1" s="8" t="inlineStr">
        <is>
          <t>보수 완료</t>
        </is>
      </c>
    </row>
    <row r="2">
      <c r="A2" s="9" t="inlineStr">
        <is>
          <t>현관 / 복도</t>
        </is>
      </c>
      <c r="B2" s="13">
        <f>COUNTIF(점검표!$B$2:$B$62,A2)</f>
        <v/>
      </c>
      <c r="C2" s="13">
        <f>COUNTIFS(점검표!$B$2:$B$62,A2,점검표!$E$2:$E$62,"&lt;&gt;")</f>
        <v/>
      </c>
      <c r="D2" s="18">
        <f>IF(B2=0,0,C2/B2)</f>
        <v/>
      </c>
      <c r="E2" s="13">
        <f>COUNTIFS(점검표!$B$2:$B$62,A2,점검표!$E$2:$E$62,"○")</f>
        <v/>
      </c>
      <c r="F2" s="13">
        <f>COUNTIFS(점검표!$B$2:$B$62,A2,점검표!$E$2:$E$62,"✖")</f>
        <v/>
      </c>
      <c r="G2" s="13">
        <f>COUNTIFS(점검표!$B$2:$B$62,A2,점검표!$E$2:$E$62,"△")</f>
        <v/>
      </c>
      <c r="H2" s="13">
        <f>COUNTIF(하자기록!$B$3:$B$101,A2)</f>
        <v/>
      </c>
      <c r="I2" s="13">
        <f>COUNTIFS(하자기록!$B$3:$B$101,A2,하자기록!$I$3:$I$101,"완료")</f>
        <v/>
      </c>
    </row>
    <row r="3">
      <c r="A3" s="9" t="inlineStr">
        <is>
          <t>거실 / 침실</t>
        </is>
      </c>
      <c r="B3" s="13">
        <f>COUNTIF(점검표!$B$2:$B$62,A3)</f>
        <v/>
      </c>
      <c r="C3" s="13">
        <f>COUNTIFS(점검표!$B$2:$B$62,A3,점검표!$E$2:$E$62,"&lt;&gt;")</f>
        <v/>
      </c>
      <c r="D3" s="18">
        <f>IF(B3=0,0,C3/B3)</f>
        <v/>
      </c>
      <c r="E3" s="13">
        <f>COUNTIFS(점검표!$B$2:$B$62,A3,점검표!$E$2:$E$62,"○")</f>
        <v/>
      </c>
      <c r="F3" s="13">
        <f>COUNTIFS(점검표!$B$2:$B$62,A3,점검표!$E$2:$E$62,"✖")</f>
        <v/>
      </c>
      <c r="G3" s="13">
        <f>COUNTIFS(점검표!$B$2:$B$62,A3,점검표!$E$2:$E$62,"△")</f>
        <v/>
      </c>
      <c r="H3" s="13">
        <f>COUNTIF(하자기록!$B$3:$B$101,A3)</f>
        <v/>
      </c>
      <c r="I3" s="13">
        <f>COUNTIFS(하자기록!$B$3:$B$101,A3,하자기록!$I$3:$I$101,"완료")</f>
        <v/>
      </c>
    </row>
    <row r="4">
      <c r="A4" s="9" t="inlineStr">
        <is>
          <t>주방</t>
        </is>
      </c>
      <c r="B4" s="13">
        <f>COUNTIF(점검표!$B$2:$B$62,A4)</f>
        <v/>
      </c>
      <c r="C4" s="13">
        <f>COUNTIFS(점검표!$B$2:$B$62,A4,점검표!$E$2:$E$62,"&lt;&gt;")</f>
        <v/>
      </c>
      <c r="D4" s="18">
        <f>IF(B4=0,0,C4/B4)</f>
        <v/>
      </c>
      <c r="E4" s="13">
        <f>COUNTIFS(점검표!$B$2:$B$62,A4,점검표!$E$2:$E$62,"○")</f>
        <v/>
      </c>
      <c r="F4" s="13">
        <f>COUNTIFS(점검표!$B$2:$B$62,A4,점검표!$E$2:$E$62,"✖")</f>
        <v/>
      </c>
      <c r="G4" s="13">
        <f>COUNTIFS(점검표!$B$2:$B$62,A4,점검표!$E$2:$E$62,"△")</f>
        <v/>
      </c>
      <c r="H4" s="13">
        <f>COUNTIF(하자기록!$B$3:$B$101,A4)</f>
        <v/>
      </c>
      <c r="I4" s="13">
        <f>COUNTIFS(하자기록!$B$3:$B$101,A4,하자기록!$I$3:$I$101,"완료")</f>
        <v/>
      </c>
    </row>
    <row r="5">
      <c r="A5" s="9" t="inlineStr">
        <is>
          <t>욕실</t>
        </is>
      </c>
      <c r="B5" s="13">
        <f>COUNTIF(점검표!$B$2:$B$62,A5)</f>
        <v/>
      </c>
      <c r="C5" s="13">
        <f>COUNTIFS(점검표!$B$2:$B$62,A5,점검표!$E$2:$E$62,"&lt;&gt;")</f>
        <v/>
      </c>
      <c r="D5" s="18">
        <f>IF(B5=0,0,C5/B5)</f>
        <v/>
      </c>
      <c r="E5" s="13">
        <f>COUNTIFS(점검표!$B$2:$B$62,A5,점검표!$E$2:$E$62,"○")</f>
        <v/>
      </c>
      <c r="F5" s="13">
        <f>COUNTIFS(점검표!$B$2:$B$62,A5,점검표!$E$2:$E$62,"✖")</f>
        <v/>
      </c>
      <c r="G5" s="13">
        <f>COUNTIFS(점검표!$B$2:$B$62,A5,점검표!$E$2:$E$62,"△")</f>
        <v/>
      </c>
      <c r="H5" s="13">
        <f>COUNTIF(하자기록!$B$3:$B$101,A5)</f>
        <v/>
      </c>
      <c r="I5" s="13">
        <f>COUNTIFS(하자기록!$B$3:$B$101,A5,하자기록!$I$3:$I$101,"완료")</f>
        <v/>
      </c>
    </row>
    <row r="6">
      <c r="A6" s="9" t="inlineStr">
        <is>
          <t>발코니 / 다용도실 / 실외기실</t>
        </is>
      </c>
      <c r="B6" s="13">
        <f>COUNTIF(점검표!$B$2:$B$62,A6)</f>
        <v/>
      </c>
      <c r="C6" s="13">
        <f>COUNTIFS(점검표!$B$2:$B$62,A6,점검표!$E$2:$E$62,"&lt;&gt;")</f>
        <v/>
      </c>
      <c r="D6" s="18">
        <f>IF(B6=0,0,C6/B6)</f>
        <v/>
      </c>
      <c r="E6" s="13">
        <f>COUNTIFS(점검표!$B$2:$B$62,A6,점검표!$E$2:$E$62,"○")</f>
        <v/>
      </c>
      <c r="F6" s="13">
        <f>COUNTIFS(점검표!$B$2:$B$62,A6,점검표!$E$2:$E$62,"✖")</f>
        <v/>
      </c>
      <c r="G6" s="13">
        <f>COUNTIFS(점검표!$B$2:$B$62,A6,점검표!$E$2:$E$62,"△")</f>
        <v/>
      </c>
      <c r="H6" s="13">
        <f>COUNTIF(하자기록!$B$3:$B$101,A6)</f>
        <v/>
      </c>
      <c r="I6" s="13">
        <f>COUNTIFS(하자기록!$B$3:$B$101,A6,하자기록!$I$3:$I$101,"완료")</f>
        <v/>
      </c>
    </row>
    <row r="7">
      <c r="A7" s="9" t="inlineStr">
        <is>
          <t>드레스룸 / 팬트리 / 수납</t>
        </is>
      </c>
      <c r="B7" s="13">
        <f>COUNTIF(점검표!$B$2:$B$62,A7)</f>
        <v/>
      </c>
      <c r="C7" s="13">
        <f>COUNTIFS(점검표!$B$2:$B$62,A7,점검표!$E$2:$E$62,"&lt;&gt;")</f>
        <v/>
      </c>
      <c r="D7" s="18">
        <f>IF(B7=0,0,C7/B7)</f>
        <v/>
      </c>
      <c r="E7" s="13">
        <f>COUNTIFS(점검표!$B$2:$B$62,A7,점검표!$E$2:$E$62,"○")</f>
        <v/>
      </c>
      <c r="F7" s="13">
        <f>COUNTIFS(점검표!$B$2:$B$62,A7,점검표!$E$2:$E$62,"✖")</f>
        <v/>
      </c>
      <c r="G7" s="13">
        <f>COUNTIFS(점검표!$B$2:$B$62,A7,점검표!$E$2:$E$62,"△")</f>
        <v/>
      </c>
      <c r="H7" s="13">
        <f>COUNTIF(하자기록!$B$3:$B$101,A7)</f>
        <v/>
      </c>
      <c r="I7" s="13">
        <f>COUNTIFS(하자기록!$B$3:$B$101,A7,하자기록!$I$3:$I$101,"완료")</f>
        <v/>
      </c>
    </row>
    <row r="8">
      <c r="A8" s="9" t="inlineStr">
        <is>
          <t>공용·설비</t>
        </is>
      </c>
      <c r="B8" s="13">
        <f>COUNTIF(점검표!$B$2:$B$62,A8)</f>
        <v/>
      </c>
      <c r="C8" s="13">
        <f>COUNTIFS(점검표!$B$2:$B$62,A8,점검표!$E$2:$E$62,"&lt;&gt;")</f>
        <v/>
      </c>
      <c r="D8" s="18">
        <f>IF(B8=0,0,C8/B8)</f>
        <v/>
      </c>
      <c r="E8" s="13">
        <f>COUNTIFS(점검표!$B$2:$B$62,A8,점검표!$E$2:$E$62,"○")</f>
        <v/>
      </c>
      <c r="F8" s="13">
        <f>COUNTIFS(점검표!$B$2:$B$62,A8,점검표!$E$2:$E$62,"✖")</f>
        <v/>
      </c>
      <c r="G8" s="13">
        <f>COUNTIFS(점검표!$B$2:$B$62,A8,점검표!$E$2:$E$62,"△")</f>
        <v/>
      </c>
      <c r="H8" s="13">
        <f>COUNTIF(하자기록!$B$3:$B$101,A8)</f>
        <v/>
      </c>
      <c r="I8" s="13">
        <f>COUNTIFS(하자기록!$B$3:$B$101,A8,하자기록!$I$3:$I$101,"완료")</f>
        <v/>
      </c>
    </row>
    <row r="9">
      <c r="A9" s="19" t="inlineStr">
        <is>
          <t>합계</t>
        </is>
      </c>
      <c r="B9" s="20">
        <f>SUM(B2:B8)</f>
        <v/>
      </c>
      <c r="C9" s="20">
        <f>SUM(C2:C8)</f>
        <v/>
      </c>
      <c r="D9" s="21">
        <f>IF(B9=0,0,C9/B9)</f>
        <v/>
      </c>
      <c r="E9" s="20">
        <f>SUM(E2:E8)</f>
        <v/>
      </c>
      <c r="F9" s="20">
        <f>SUM(F2:F8)</f>
        <v/>
      </c>
      <c r="G9" s="20">
        <f>SUM(G2:G8)</f>
        <v/>
      </c>
      <c r="H9" s="20">
        <f>SUM(H2:H8)</f>
        <v/>
      </c>
      <c r="I9" s="20">
        <f>SUM(I2:I8)</f>
        <v/>
      </c>
    </row>
    <row r="11">
      <c r="A11" s="22" t="inlineStr">
        <is>
          <t>※ 하자기록 수는 2행 예시를 제외하고 셉니다.</t>
        </is>
      </c>
    </row>
  </sheetData>
  <conditionalFormatting sqref="D2:D8">
    <cfRule type="dataBar" priority="1">
      <dataBar>
        <cfvo type="num" val="0"/>
        <cfvo type="num" val="1"/>
        <color rgb="005B9BD5"/>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6" customWidth="1" min="1" max="1"/>
    <col width="64" customWidth="1" min="2" max="2"/>
    <col width="8" customWidth="1" min="3" max="3"/>
    <col width="36" customWidth="1" min="4" max="4"/>
  </cols>
  <sheetData>
    <row r="1">
      <c r="A1" s="23" t="inlineStr">
        <is>
          <t>포스코이앤씨 더샵 사전방문(사전점검) · 휴대폰 하자 접수 순서</t>
        </is>
      </c>
    </row>
    <row r="2">
      <c r="A2" s="24" t="inlineStr">
        <is>
          <t>※ 단지마다 앱 이름·접수 방식·기한이 다릅니다. 노란 칸은 받으신 사전방문 안내문(문자·우편)을 보고 채우세요.</t>
        </is>
      </c>
    </row>
    <row r="4">
      <c r="A4" s="3" t="inlineStr">
        <is>
          <t>기본 정보</t>
        </is>
      </c>
    </row>
    <row r="5">
      <c r="B5" s="25" t="inlineStr">
        <is>
          <t>단지명</t>
        </is>
      </c>
      <c r="C5" s="26" t="n"/>
      <c r="D5" s="27" t="n"/>
    </row>
    <row r="6">
      <c r="B6" s="25" t="inlineStr">
        <is>
          <t>사전방문 일시 (예약한 날짜·시간)</t>
        </is>
      </c>
      <c r="C6" s="26" t="n"/>
      <c r="D6" s="27" t="n"/>
    </row>
    <row r="7">
      <c r="B7" s="25" t="inlineStr">
        <is>
          <t>하자 접수 앱/웹 이름·주소 (안내문 기재)</t>
        </is>
      </c>
      <c r="C7" s="26" t="n"/>
      <c r="D7" s="27" t="n"/>
    </row>
    <row r="8">
      <c r="B8" s="25" t="inlineStr">
        <is>
          <t>앱 로그인 정보 (계약자명·동호수)</t>
        </is>
      </c>
      <c r="C8" s="26" t="n"/>
      <c r="D8" s="27" t="n"/>
    </row>
    <row r="9">
      <c r="B9" s="25" t="inlineStr">
        <is>
          <t>하자 접수 마감 일시</t>
        </is>
      </c>
      <c r="C9" s="26" t="n"/>
      <c r="D9" s="27" t="n"/>
    </row>
    <row r="10">
      <c r="B10" s="25" t="inlineStr">
        <is>
          <t>입주지원센터 연락처</t>
        </is>
      </c>
      <c r="C10" s="26" t="n"/>
      <c r="D10" s="27" t="n"/>
    </row>
    <row r="11">
      <c r="B11" s="25" t="inlineStr">
        <is>
          <t>보수 확인 재방문 일정</t>
        </is>
      </c>
      <c r="C11" s="26" t="n"/>
      <c r="D11" s="27" t="n"/>
    </row>
    <row r="13">
      <c r="A13" s="3" t="inlineStr">
        <is>
          <t>진행 순서</t>
        </is>
      </c>
    </row>
    <row r="14">
      <c r="A14" s="8" t="inlineStr">
        <is>
          <t>단계</t>
        </is>
      </c>
      <c r="B14" s="8" t="inlineStr">
        <is>
          <t>할 일</t>
        </is>
      </c>
      <c r="C14" s="8" t="inlineStr">
        <is>
          <t>완료</t>
        </is>
      </c>
      <c r="D14" s="8" t="inlineStr">
        <is>
          <t>메모</t>
        </is>
      </c>
    </row>
    <row r="15">
      <c r="A15" s="13" t="inlineStr">
        <is>
          <t>사전</t>
        </is>
      </c>
      <c r="B15" s="9" t="inlineStr">
        <is>
          <t>안내문(문자·우편)에서 방문 예약 → 날짜·시간 확정</t>
        </is>
      </c>
      <c r="C15" s="10" t="n"/>
      <c r="D15" s="11" t="n"/>
    </row>
    <row r="16">
      <c r="A16" s="13" t="inlineStr">
        <is>
          <t>사전</t>
        </is>
      </c>
      <c r="B16" s="9" t="inlineStr">
        <is>
          <t>단지 지정 하자 접수 앱/웹을 미리 설치하고 로그인 확인 (계약자 정보·동호수 입력)</t>
        </is>
      </c>
      <c r="C16" s="10" t="n"/>
      <c r="D16" s="11" t="n"/>
    </row>
    <row r="17">
      <c r="A17" s="13" t="inlineStr">
        <is>
          <t>사전</t>
        </is>
      </c>
      <c r="B17" s="9" t="inlineStr">
        <is>
          <t>방문 전날 받은 입장 QR코드(단지에 따라 발송) 캡처해 두기</t>
        </is>
      </c>
      <c r="C17" s="10" t="n"/>
      <c r="D17" s="11" t="n"/>
    </row>
    <row r="18">
      <c r="A18" s="13" t="inlineStr">
        <is>
          <t>사전</t>
        </is>
      </c>
      <c r="B18" s="9" t="inlineStr">
        <is>
          <t>휴대폰 충전, 보조배터리, 저장공간 확보 (사진이 많음)</t>
        </is>
      </c>
      <c r="C18" s="10" t="n"/>
      <c r="D18" s="11" t="n"/>
    </row>
    <row r="19">
      <c r="A19" s="13" t="inlineStr">
        <is>
          <t>당일</t>
        </is>
      </c>
      <c r="B19" s="9" t="inlineStr">
        <is>
          <t>입주지원센터(접수처)에서 QR·신분증 확인 → 교육 듣기 → 점검표·스티커 받기</t>
        </is>
      </c>
      <c r="C19" s="10" t="n"/>
      <c r="D19" s="11" t="n"/>
    </row>
    <row r="20">
      <c r="A20" s="13" t="inlineStr">
        <is>
          <t>당일</t>
        </is>
      </c>
      <c r="B20" s="9" t="inlineStr">
        <is>
          <t>현관부터 시계 방향으로 점검 (점검표 시트 순서대로)</t>
        </is>
      </c>
      <c r="C20" s="10" t="n"/>
      <c r="D20" s="11" t="n"/>
    </row>
    <row r="21">
      <c r="A21" s="13" t="inlineStr">
        <is>
          <t>당일</t>
        </is>
      </c>
      <c r="B21" s="9" t="inlineStr">
        <is>
          <t>하자 발견 → 스티커 부착 → 사진(원거리+근접) → 하자기록 시트에 기록</t>
        </is>
      </c>
      <c r="C21" s="10" t="n"/>
      <c r="D21" s="11" t="n"/>
    </row>
    <row r="22">
      <c r="A22" s="13" t="inlineStr">
        <is>
          <t>당일</t>
        </is>
      </c>
      <c r="B22" s="9" t="inlineStr">
        <is>
          <t>휴대폰 앱/웹에 하자 등록: 공간 선택 → 사진 첨부 → 위치·증상 입력 (하자기록 K열 문구 복사)</t>
        </is>
      </c>
      <c r="C22" s="10" t="n"/>
      <c r="D22" s="11" t="n"/>
    </row>
    <row r="23">
      <c r="A23" s="13" t="inlineStr">
        <is>
          <t>당일</t>
        </is>
      </c>
      <c r="B23" s="9" t="inlineStr">
        <is>
          <t>나가기 전 접수 목록 화면을 캡처하고, 하자기록과 개수 맞춰 보기</t>
        </is>
      </c>
      <c r="C23" s="10" t="n"/>
      <c r="D23" s="11" t="n"/>
    </row>
    <row r="24">
      <c r="A24" s="13" t="inlineStr">
        <is>
          <t>기한 내</t>
        </is>
      </c>
      <c r="B24" s="9" t="inlineStr">
        <is>
          <t>집에서 사진을 다시 보며 빠진 하자 추가 등록 (접수 마감 전까지)</t>
        </is>
      </c>
      <c r="C24" s="10" t="n"/>
      <c r="D24" s="11" t="n"/>
    </row>
    <row r="25">
      <c r="A25" s="13" t="inlineStr">
        <is>
          <t>이후</t>
        </is>
      </c>
      <c r="B25" s="9" t="inlineStr">
        <is>
          <t>앱에서 처리 상태(접수 → 보수 중 → 완료) 확인</t>
        </is>
      </c>
      <c r="C25" s="10" t="n"/>
      <c r="D25" s="11" t="n"/>
    </row>
    <row r="26">
      <c r="A26" s="13" t="inlineStr">
        <is>
          <t>이후</t>
        </is>
      </c>
      <c r="B26" s="9" t="inlineStr">
        <is>
          <t>보수 확인 재방문 때 하자번호별로 완료 확인 → 하자기록 I열 갱신</t>
        </is>
      </c>
      <c r="C26" s="10" t="n"/>
      <c r="D26" s="11" t="n"/>
    </row>
    <row r="27">
      <c r="A27" s="13" t="inlineStr">
        <is>
          <t>이후</t>
        </is>
      </c>
      <c r="B27" s="9" t="inlineStr">
        <is>
          <t>앱에 안 되는 건은 입주지원센터에 서면 요청서 제출, 입주 후에는 관리사무소·하자보수 기간 내 접수</t>
        </is>
      </c>
      <c r="C27" s="10" t="n"/>
      <c r="D27" s="11" t="n"/>
    </row>
    <row r="29">
      <c r="A29" s="3" t="inlineStr">
        <is>
          <t>하자로 잘못 접수하기 쉬운 것 (현장 확인 후 판단)</t>
        </is>
      </c>
    </row>
    <row r="30" ht="30" customHeight="1">
      <c r="B30" s="28" t="inlineStr">
        <is>
          <t>· 현관 방화문에 말발굽(도어스토퍼)이 없는 것 — 방화문은 닫힌 상태가 원칙이라 기본 미설치인 경우가 많음</t>
        </is>
      </c>
    </row>
    <row r="31" ht="30" customHeight="1">
      <c r="B31" s="28" t="inlineStr">
        <is>
          <t>· 목문틀의 타카핀 자국 — 시공 방식상 생기는 자국</t>
        </is>
      </c>
    </row>
    <row r="32" ht="30" customHeight="1">
      <c r="B32" s="28" t="inlineStr">
        <is>
          <t>· 줄눈 없는(무메지) 아트월 타일 — 설계상 줄눈이 없는 마감</t>
        </is>
      </c>
    </row>
    <row r="33" ht="30" customHeight="1">
      <c r="B33" s="28" t="inlineStr">
        <is>
          <t>· 계약하지 않은 옵션이 없는 것 — 분양·옵션 계약서와 대조</t>
        </is>
      </c>
    </row>
    <row r="35">
      <c r="B35" s="22" t="inlineStr">
        <is>
          <t>출처: 광명 자이 더샵 포레나 사전점검 가이드(xi-guide.oopy.io), 사전점검 앱 공통 접수 흐름 자료. 더샵 공식 절차는 단지 안내문이 우선입니다.</t>
        </is>
      </c>
    </row>
  </sheetData>
  <mergeCells count="11">
    <mergeCell ref="B33:D33"/>
    <mergeCell ref="C6:D6"/>
    <mergeCell ref="C7:D7"/>
    <mergeCell ref="C10:D10"/>
    <mergeCell ref="B31:D31"/>
    <mergeCell ref="C11:D11"/>
    <mergeCell ref="B32:D32"/>
    <mergeCell ref="C5:D5"/>
    <mergeCell ref="B30:D30"/>
    <mergeCell ref="C9:D9"/>
    <mergeCell ref="C8:D8"/>
  </mergeCells>
  <dataValidations count="1">
    <dataValidation sqref="C15 C16 C17 C18 C19 C20 C21 C22 C23 C24 C25 C26 C27"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 customWidth="1" min="1" max="1"/>
    <col width="52" customWidth="1" min="2" max="2"/>
    <col width="18" customWidth="1" min="3" max="3"/>
    <col width="26" customWidth="1" min="4" max="4"/>
    <col width="50" customWidth="1" min="5" max="5"/>
  </cols>
  <sheetData>
    <row r="1" ht="24" customHeight="1">
      <c r="A1" s="8" t="inlineStr">
        <is>
          <t>#</t>
        </is>
      </c>
      <c r="B1" s="8" t="inlineStr">
        <is>
          <t>영상 / 자료</t>
        </is>
      </c>
      <c r="C1" s="8" t="inlineStr">
        <is>
          <t>채널</t>
        </is>
      </c>
      <c r="D1" s="8" t="inlineStr">
        <is>
          <t>정보</t>
        </is>
      </c>
      <c r="E1" s="8" t="inlineStr">
        <is>
          <t>핵심</t>
        </is>
      </c>
    </row>
    <row r="2">
      <c r="A2" s="29" t="n">
        <v>1</v>
      </c>
      <c r="B2" s="29" t="inlineStr">
        <is>
          <t>신축 아파트 사전점검 A부터 Z까지</t>
        </is>
      </c>
      <c r="C2" s="29" t="inlineStr">
        <is>
          <t>매부리TV</t>
        </is>
      </c>
      <c r="D2" s="29" t="inlineStr">
        <is>
          <t>28:52 · 조회수 50만 · 2년 전</t>
        </is>
      </c>
      <c r="E2" s="29" t="inlineStr">
        <is>
          <t>점검 순서·준비물·장소별 핵심·하자 대응 4부 구성 (이 체크리스트의 기준)</t>
        </is>
      </c>
    </row>
    <row r="3">
      <c r="A3" s="9" t="n">
        <v>2</v>
      </c>
      <c r="B3" s="9" t="inlineStr">
        <is>
          <t>신축아파트 셀프사전점검 꼭 확인해야하는 72가지 체크리스트</t>
        </is>
      </c>
      <c r="C3" s="9" t="inlineStr">
        <is>
          <t>오늘의청소</t>
        </is>
      </c>
      <c r="D3" s="9" t="inlineStr">
        <is>
          <t>16:23 · 조회수 2.7만 · 4개월 전</t>
        </is>
      </c>
      <c r="E3" s="9" t="inlineStr">
        <is>
          <t>업체 노하우. 댓글 이벤트로 72항목 체크리스트표 제공</t>
        </is>
      </c>
    </row>
    <row r="4">
      <c r="A4" s="9" t="n">
        <v>3</v>
      </c>
      <c r="B4" s="9" t="inlineStr">
        <is>
          <t>신축 하자 점검, 사전 체크 셀프로 하는 방법</t>
        </is>
      </c>
      <c r="C4" s="9" t="inlineStr">
        <is>
          <t>@ShinBBBB</t>
        </is>
      </c>
      <c r="D4" s="9" t="inlineStr">
        <is>
          <t>3년 전</t>
        </is>
      </c>
      <c r="E4" s="9" t="inlineStr">
        <is>
          <t>개인 셀프 점검 영상</t>
        </is>
      </c>
    </row>
    <row r="5">
      <c r="A5" s="9" t="n">
        <v>4</v>
      </c>
      <c r="B5" s="9" t="inlineStr">
        <is>
          <t>아파트 셀프 사전 점검 / 체크리스트, 업체, 준비물, 시간 등 꿀팁 모음집</t>
        </is>
      </c>
      <c r="C5" s="9" t="inlineStr">
        <is>
          <t>판교팬칠칠이_아파트TV</t>
        </is>
      </c>
      <c r="D5" s="9" t="inlineStr">
        <is>
          <t>youtube.com/watch?v=pHY_XkgKvBA</t>
        </is>
      </c>
      <c r="E5" s="9" t="inlineStr">
        <is>
          <t>준비물, 소요 시간, 셀프 vs 업체</t>
        </is>
      </c>
    </row>
    <row r="6">
      <c r="A6" s="9" t="n">
        <v>5</v>
      </c>
      <c r="B6" s="9" t="inlineStr">
        <is>
          <t>신축아파트 셀프 사전점검 이영상 하나로 끝내세요</t>
        </is>
      </c>
      <c r="C6" s="9" t="inlineStr">
        <is>
          <t>-</t>
        </is>
      </c>
      <c r="D6" s="9" t="inlineStr">
        <is>
          <t>youtube.com/watch?v=OGMj0T7GBjI</t>
        </is>
      </c>
      <c r="E6" s="9" t="inlineStr">
        <is>
          <t>공간별 점검 꿀팁</t>
        </is>
      </c>
    </row>
    <row r="7">
      <c r="A7" s="9" t="n">
        <v>6</v>
      </c>
      <c r="B7" s="9" t="inlineStr">
        <is>
          <t>아파트 사전점검 7가지 체크리스트 셀프 하자점검</t>
        </is>
      </c>
      <c r="C7" s="9" t="inlineStr">
        <is>
          <t>라르고</t>
        </is>
      </c>
      <c r="D7" s="9" t="inlineStr">
        <is>
          <t>youtube.com/watch?v=cYHDBCUOnbc</t>
        </is>
      </c>
      <c r="E7" s="9" t="inlineStr">
        <is>
          <t>창호·욕실·주방·콘센트·도배</t>
        </is>
      </c>
    </row>
    <row r="9">
      <c r="B9" s="22" t="inlineStr">
        <is>
          <t>※ 영상 자막은 확인하지 못했습니다(YouTube가 서버 접속 차단). 세부 항목은 홈체크, 월부, 오늘의집, 뉴라부동산 등의 가이드 자료로 보완했습니다.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현관 / 복도</t>
        </is>
      </c>
    </row>
    <row r="2">
      <c r="A2" t="inlineStr">
        <is>
          <t>거실 / 침실</t>
        </is>
      </c>
    </row>
    <row r="3">
      <c r="A3" t="inlineStr">
        <is>
          <t>주방</t>
        </is>
      </c>
    </row>
    <row r="4">
      <c r="A4" t="inlineStr">
        <is>
          <t>욕실</t>
        </is>
      </c>
    </row>
    <row r="5">
      <c r="A5" t="inlineStr">
        <is>
          <t>발코니 / 다용도실 / 실외기실</t>
        </is>
      </c>
    </row>
    <row r="6">
      <c r="A6" t="inlineStr">
        <is>
          <t>드레스룸 / 팬트리 / 수납</t>
        </is>
      </c>
    </row>
    <row r="7">
      <c r="A7" t="inlineStr">
        <is>
          <t>공용·설비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2026-10-08T07:13:56Z</dcterms:created>
  <dcterms:modified xmlns:dcterms="http://purl.org/dc/terms/" xmlns:xsi="http://www.w3.org/2001/XMLSchema-instance" xsi:type="dcterms:W3CDTF">2026-10-08T07:13:57Z</dcterms:modified>
</cp:coreProperties>
</file>